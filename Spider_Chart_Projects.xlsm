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ar_\Documents\GitHub\Business_Intelligence\"/>
    </mc:Choice>
  </mc:AlternateContent>
  <xr:revisionPtr revIDLastSave="0" documentId="13_ncr:1_{CEB12D6F-6D9C-4AB7-A7CE-1C6E0EF8FD01}" xr6:coauthVersionLast="47" xr6:coauthVersionMax="47" xr10:uidLastSave="{00000000-0000-0000-0000-000000000000}"/>
  <bookViews>
    <workbookView xWindow="-120" yWindow="-120" windowWidth="29040" windowHeight="15840" tabRatio="375" firstSheet="1" activeTab="1" xr2:uid="{00000000-000D-0000-FFFF-FFFF00000000}"/>
  </bookViews>
  <sheets>
    <sheet name="Chart" sheetId="1" state="hidden" r:id="rId1"/>
    <sheet name="Sheet1" sheetId="3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C17" i="3"/>
  <c r="J17" i="3" s="1"/>
  <c r="E17" i="3"/>
  <c r="C16" i="3"/>
  <c r="O16" i="3" s="1"/>
  <c r="E16" i="3"/>
  <c r="AF12" i="1"/>
  <c r="AL12" i="1"/>
  <c r="AI12" i="1" s="1"/>
  <c r="AL8" i="1"/>
  <c r="AE8" i="1" s="1"/>
  <c r="AL9" i="1"/>
  <c r="AI9" i="1" s="1"/>
  <c r="AL10" i="1"/>
  <c r="AI10" i="1" s="1"/>
  <c r="AL11" i="1"/>
  <c r="AG11" i="1" s="1"/>
  <c r="AH12" i="1" l="1"/>
  <c r="AG12" i="1"/>
  <c r="M17" i="3"/>
  <c r="L17" i="3"/>
  <c r="AF8" i="1"/>
  <c r="K17" i="3"/>
  <c r="AI8" i="1"/>
  <c r="M16" i="3"/>
  <c r="AG8" i="1"/>
  <c r="N16" i="3"/>
  <c r="L16" i="3"/>
  <c r="AH11" i="1"/>
  <c r="AE11" i="1"/>
  <c r="AH9" i="1"/>
  <c r="AJ9" i="1"/>
  <c r="AE9" i="1"/>
  <c r="AE12" i="1"/>
  <c r="AH8" i="1"/>
  <c r="AJ8" i="1"/>
  <c r="AJ11" i="1"/>
  <c r="AJ10" i="1"/>
  <c r="AF11" i="1"/>
  <c r="AI11" i="1"/>
  <c r="AH10" i="1"/>
  <c r="AE10" i="1"/>
  <c r="AF10" i="1"/>
  <c r="AG10" i="1"/>
  <c r="AJ12" i="1"/>
  <c r="AF9" i="1"/>
  <c r="AG9" i="1"/>
  <c r="C15" i="3"/>
  <c r="M15" i="3" s="1"/>
  <c r="E15" i="3"/>
  <c r="K15" i="3" l="1"/>
  <c r="L15" i="3"/>
  <c r="J15" i="3"/>
  <c r="C14" i="3"/>
  <c r="J14" i="3" s="1"/>
  <c r="E14" i="3"/>
  <c r="L14" i="3" l="1"/>
  <c r="K14" i="3"/>
  <c r="M14" i="3"/>
  <c r="C13" i="3" l="1"/>
  <c r="O13" i="3" s="1"/>
  <c r="E13" i="3"/>
  <c r="C12" i="3"/>
  <c r="K12" i="3" s="1"/>
  <c r="E12" i="3"/>
  <c r="C11" i="3"/>
  <c r="O11" i="3" s="1"/>
  <c r="E11" i="3"/>
  <c r="C10" i="3"/>
  <c r="K10" i="3" s="1"/>
  <c r="E10" i="3"/>
  <c r="C9" i="3"/>
  <c r="O9" i="3" s="1"/>
  <c r="E9" i="3"/>
  <c r="C8" i="3"/>
  <c r="E8" i="3"/>
  <c r="C7" i="3"/>
  <c r="K7" i="3" s="1"/>
  <c r="E7" i="3"/>
  <c r="C6" i="3"/>
  <c r="O6" i="3" s="1"/>
  <c r="E6" i="3"/>
  <c r="C5" i="3"/>
  <c r="N5" i="3" s="1"/>
  <c r="E5" i="3"/>
  <c r="C4" i="3"/>
  <c r="J4" i="3" s="1"/>
  <c r="E4" i="3"/>
  <c r="C3" i="3"/>
  <c r="K3" i="3" s="1"/>
  <c r="E3" i="3"/>
  <c r="N11" i="3" l="1"/>
  <c r="J11" i="3"/>
  <c r="J10" i="3"/>
  <c r="M3" i="3"/>
  <c r="N13" i="3"/>
  <c r="J3" i="3"/>
  <c r="N10" i="3"/>
  <c r="J13" i="3"/>
  <c r="J12" i="3"/>
  <c r="N12" i="3"/>
  <c r="N9" i="3"/>
  <c r="J9" i="3"/>
  <c r="N8" i="3"/>
  <c r="J8" i="3"/>
  <c r="K9" i="3"/>
  <c r="O10" i="3"/>
  <c r="K11" i="3"/>
  <c r="O12" i="3"/>
  <c r="K13" i="3"/>
  <c r="M7" i="3"/>
  <c r="J7" i="3"/>
  <c r="L3" i="3"/>
  <c r="K8" i="3"/>
  <c r="N6" i="3"/>
  <c r="L7" i="3"/>
  <c r="J6" i="3"/>
  <c r="K5" i="3"/>
  <c r="J5" i="3"/>
  <c r="K6" i="3"/>
  <c r="O4" i="3"/>
  <c r="N4" i="3"/>
  <c r="K4" i="3"/>
  <c r="O5" i="3"/>
  <c r="O8" i="3" l="1"/>
  <c r="C2" i="3"/>
  <c r="E2" i="3"/>
  <c r="N2" i="3" l="1"/>
  <c r="J2" i="3"/>
  <c r="K2" i="3"/>
  <c r="O2" i="3"/>
  <c r="AF32" i="1" l="1"/>
  <c r="AF33" i="1"/>
  <c r="AF34" i="1"/>
  <c r="AF35" i="1"/>
  <c r="AF36" i="1"/>
  <c r="AF37" i="1"/>
  <c r="AF31" i="1"/>
  <c r="X14" i="1" l="1"/>
  <c r="W17" i="1"/>
  <c r="V4" i="1"/>
  <c r="W5" i="1" s="1"/>
  <c r="T6" i="1"/>
  <c r="V6" i="1" s="1"/>
  <c r="Y6" i="1" s="1"/>
  <c r="A94" i="1"/>
  <c r="A6" i="1"/>
  <c r="A7" i="1"/>
  <c r="D7" i="1" s="1"/>
  <c r="A8" i="1"/>
  <c r="D8" i="1" s="1"/>
  <c r="A9" i="1"/>
  <c r="A10" i="1"/>
  <c r="D10" i="1" s="1"/>
  <c r="A11" i="1"/>
  <c r="D11" i="1" s="1"/>
  <c r="A12" i="1"/>
  <c r="D12" i="1" s="1"/>
  <c r="A13" i="1"/>
  <c r="C13" i="1" s="1"/>
  <c r="A14" i="1"/>
  <c r="A15" i="1"/>
  <c r="A16" i="1"/>
  <c r="D16" i="1" s="1"/>
  <c r="A17" i="1"/>
  <c r="A18" i="1"/>
  <c r="D18" i="1" s="1"/>
  <c r="A19" i="1"/>
  <c r="A20" i="1"/>
  <c r="D20" i="1" s="1"/>
  <c r="A21" i="1"/>
  <c r="D21" i="1" s="1"/>
  <c r="A22" i="1"/>
  <c r="A23" i="1"/>
  <c r="A24" i="1"/>
  <c r="D24" i="1" s="1"/>
  <c r="A25" i="1"/>
  <c r="D25" i="1" s="1"/>
  <c r="A26" i="1"/>
  <c r="D26" i="1" s="1"/>
  <c r="A27" i="1"/>
  <c r="C27" i="1" s="1"/>
  <c r="A28" i="1"/>
  <c r="D28" i="1" s="1"/>
  <c r="A29" i="1"/>
  <c r="D29" i="1" s="1"/>
  <c r="A30" i="1"/>
  <c r="A31" i="1"/>
  <c r="A32" i="1"/>
  <c r="D32" i="1" s="1"/>
  <c r="A33" i="1"/>
  <c r="D33" i="1" s="1"/>
  <c r="A34" i="1"/>
  <c r="D34" i="1" s="1"/>
  <c r="A35" i="1"/>
  <c r="A36" i="1"/>
  <c r="C36" i="1" s="1"/>
  <c r="A37" i="1"/>
  <c r="D37" i="1" s="1"/>
  <c r="A38" i="1"/>
  <c r="A39" i="1"/>
  <c r="A40" i="1"/>
  <c r="C40" i="1" s="1"/>
  <c r="A41" i="1"/>
  <c r="D41" i="1" s="1"/>
  <c r="A42" i="1"/>
  <c r="D42" i="1" s="1"/>
  <c r="A43" i="1"/>
  <c r="A44" i="1"/>
  <c r="D44" i="1" s="1"/>
  <c r="A45" i="1"/>
  <c r="C45" i="1" s="1"/>
  <c r="A46" i="1"/>
  <c r="A47" i="1"/>
  <c r="C47" i="1" s="1"/>
  <c r="A48" i="1"/>
  <c r="D48" i="1" s="1"/>
  <c r="A49" i="1"/>
  <c r="D49" i="1" s="1"/>
  <c r="A50" i="1"/>
  <c r="D50" i="1" s="1"/>
  <c r="A51" i="1"/>
  <c r="C51" i="1" s="1"/>
  <c r="A52" i="1"/>
  <c r="D52" i="1" s="1"/>
  <c r="A53" i="1"/>
  <c r="A54" i="1"/>
  <c r="A55" i="1"/>
  <c r="C55" i="1" s="1"/>
  <c r="A56" i="1"/>
  <c r="D56" i="1" s="1"/>
  <c r="A57" i="1"/>
  <c r="C57" i="1" s="1"/>
  <c r="A58" i="1"/>
  <c r="C58" i="1" s="1"/>
  <c r="A59" i="1"/>
  <c r="D59" i="1" s="1"/>
  <c r="A60" i="1"/>
  <c r="D60" i="1" s="1"/>
  <c r="A61" i="1"/>
  <c r="A62" i="1"/>
  <c r="C62" i="1" s="1"/>
  <c r="A63" i="1"/>
  <c r="D63" i="1" s="1"/>
  <c r="A64" i="1"/>
  <c r="D64" i="1" s="1"/>
  <c r="A65" i="1"/>
  <c r="D65" i="1" s="1"/>
  <c r="A66" i="1"/>
  <c r="A67" i="1"/>
  <c r="D67" i="1" s="1"/>
  <c r="A68" i="1"/>
  <c r="C68" i="1" s="1"/>
  <c r="A69" i="1"/>
  <c r="A70" i="1"/>
  <c r="D70" i="1" s="1"/>
  <c r="A71" i="1"/>
  <c r="A72" i="1"/>
  <c r="D72" i="1" s="1"/>
  <c r="A73" i="1"/>
  <c r="D73" i="1" s="1"/>
  <c r="A74" i="1"/>
  <c r="A75" i="1"/>
  <c r="D75" i="1" s="1"/>
  <c r="A76" i="1"/>
  <c r="D76" i="1" s="1"/>
  <c r="A77" i="1"/>
  <c r="D77" i="1" s="1"/>
  <c r="A78" i="1"/>
  <c r="C78" i="1" s="1"/>
  <c r="A79" i="1"/>
  <c r="C79" i="1" s="1"/>
  <c r="A80" i="1"/>
  <c r="D80" i="1" s="1"/>
  <c r="A81" i="1"/>
  <c r="D81" i="1" s="1"/>
  <c r="A82" i="1"/>
  <c r="D82" i="1" s="1"/>
  <c r="A83" i="1"/>
  <c r="D83" i="1" s="1"/>
  <c r="A84" i="1"/>
  <c r="D84" i="1" s="1"/>
  <c r="A85" i="1"/>
  <c r="A86" i="1"/>
  <c r="C86" i="1" s="1"/>
  <c r="A87" i="1"/>
  <c r="C87" i="1" s="1"/>
  <c r="A88" i="1"/>
  <c r="D88" i="1" s="1"/>
  <c r="A89" i="1"/>
  <c r="D89" i="1" s="1"/>
  <c r="A90" i="1"/>
  <c r="A91" i="1"/>
  <c r="D91" i="1" s="1"/>
  <c r="A92" i="1"/>
  <c r="D92" i="1" s="1"/>
  <c r="A93" i="1"/>
  <c r="D93" i="1" s="1"/>
  <c r="A5" i="1"/>
  <c r="K56" i="1" l="1"/>
  <c r="I56" i="1"/>
  <c r="G56" i="1"/>
  <c r="K8" i="1"/>
  <c r="I8" i="1"/>
  <c r="G8" i="1"/>
  <c r="H87" i="1"/>
  <c r="F87" i="1"/>
  <c r="J87" i="1"/>
  <c r="H79" i="1"/>
  <c r="F79" i="1"/>
  <c r="J79" i="1"/>
  <c r="I63" i="1"/>
  <c r="G63" i="1"/>
  <c r="K63" i="1"/>
  <c r="H55" i="1"/>
  <c r="F55" i="1"/>
  <c r="J55" i="1"/>
  <c r="H47" i="1"/>
  <c r="F47" i="1"/>
  <c r="J47" i="1"/>
  <c r="I7" i="1"/>
  <c r="G7" i="1"/>
  <c r="K7" i="1"/>
  <c r="K48" i="1"/>
  <c r="I48" i="1"/>
  <c r="G48" i="1"/>
  <c r="F78" i="1"/>
  <c r="J78" i="1"/>
  <c r="H78" i="1"/>
  <c r="G70" i="1"/>
  <c r="K70" i="1"/>
  <c r="I70" i="1"/>
  <c r="F62" i="1"/>
  <c r="J62" i="1"/>
  <c r="H62" i="1"/>
  <c r="K24" i="1"/>
  <c r="I24" i="1"/>
  <c r="G24" i="1"/>
  <c r="H45" i="1"/>
  <c r="F45" i="1"/>
  <c r="J45" i="1"/>
  <c r="H13" i="1"/>
  <c r="F13" i="1"/>
  <c r="J13" i="1"/>
  <c r="K88" i="1"/>
  <c r="I88" i="1"/>
  <c r="G88" i="1"/>
  <c r="J40" i="1"/>
  <c r="F40" i="1"/>
  <c r="H40" i="1"/>
  <c r="F86" i="1"/>
  <c r="J86" i="1"/>
  <c r="H86" i="1"/>
  <c r="K29" i="1"/>
  <c r="I29" i="1"/>
  <c r="G29" i="1"/>
  <c r="K92" i="1"/>
  <c r="I92" i="1"/>
  <c r="G92" i="1"/>
  <c r="K84" i="1"/>
  <c r="I84" i="1"/>
  <c r="G84" i="1"/>
  <c r="K76" i="1"/>
  <c r="I76" i="1"/>
  <c r="G76" i="1"/>
  <c r="H68" i="1"/>
  <c r="J68" i="1"/>
  <c r="F68" i="1"/>
  <c r="K60" i="1"/>
  <c r="I60" i="1"/>
  <c r="G60" i="1"/>
  <c r="K52" i="1"/>
  <c r="I52" i="1"/>
  <c r="G52" i="1"/>
  <c r="K44" i="1"/>
  <c r="I44" i="1"/>
  <c r="G44" i="1"/>
  <c r="J36" i="1"/>
  <c r="F36" i="1"/>
  <c r="H36" i="1"/>
  <c r="K28" i="1"/>
  <c r="I28" i="1"/>
  <c r="G28" i="1"/>
  <c r="K20" i="1"/>
  <c r="I20" i="1"/>
  <c r="G20" i="1"/>
  <c r="K12" i="1"/>
  <c r="I12" i="1"/>
  <c r="G12" i="1"/>
  <c r="K80" i="1"/>
  <c r="I80" i="1"/>
  <c r="G80" i="1"/>
  <c r="K32" i="1"/>
  <c r="I32" i="1"/>
  <c r="G32" i="1"/>
  <c r="K93" i="1"/>
  <c r="I93" i="1"/>
  <c r="G93" i="1"/>
  <c r="K21" i="1"/>
  <c r="I21" i="1"/>
  <c r="G21" i="1"/>
  <c r="I75" i="1"/>
  <c r="G75" i="1"/>
  <c r="K75" i="1"/>
  <c r="I59" i="1"/>
  <c r="G59" i="1"/>
  <c r="K59" i="1"/>
  <c r="H27" i="1"/>
  <c r="F27" i="1"/>
  <c r="J27" i="1"/>
  <c r="I11" i="1"/>
  <c r="G11" i="1"/>
  <c r="K11" i="1"/>
  <c r="K64" i="1"/>
  <c r="I64" i="1"/>
  <c r="G64" i="1"/>
  <c r="K77" i="1"/>
  <c r="I77" i="1"/>
  <c r="G77" i="1"/>
  <c r="K37" i="1"/>
  <c r="I37" i="1"/>
  <c r="G37" i="1"/>
  <c r="I91" i="1"/>
  <c r="G91" i="1"/>
  <c r="K91" i="1"/>
  <c r="I83" i="1"/>
  <c r="G83" i="1"/>
  <c r="K83" i="1"/>
  <c r="I67" i="1"/>
  <c r="G67" i="1"/>
  <c r="K67" i="1"/>
  <c r="H51" i="1"/>
  <c r="J51" i="1"/>
  <c r="F51" i="1"/>
  <c r="G82" i="1"/>
  <c r="K82" i="1"/>
  <c r="I82" i="1"/>
  <c r="F58" i="1"/>
  <c r="J58" i="1"/>
  <c r="H58" i="1"/>
  <c r="G50" i="1"/>
  <c r="K50" i="1"/>
  <c r="I50" i="1"/>
  <c r="G42" i="1"/>
  <c r="K42" i="1"/>
  <c r="I42" i="1"/>
  <c r="G34" i="1"/>
  <c r="K34" i="1"/>
  <c r="I34" i="1"/>
  <c r="G26" i="1"/>
  <c r="K26" i="1"/>
  <c r="I26" i="1"/>
  <c r="G18" i="1"/>
  <c r="K18" i="1"/>
  <c r="I18" i="1"/>
  <c r="G10" i="1"/>
  <c r="K10" i="1"/>
  <c r="I10" i="1"/>
  <c r="K72" i="1"/>
  <c r="I72" i="1"/>
  <c r="G72" i="1"/>
  <c r="K16" i="1"/>
  <c r="I16" i="1"/>
  <c r="G16" i="1"/>
  <c r="K89" i="1"/>
  <c r="I89" i="1"/>
  <c r="G89" i="1"/>
  <c r="K81" i="1"/>
  <c r="I81" i="1"/>
  <c r="G81" i="1"/>
  <c r="K73" i="1"/>
  <c r="I73" i="1"/>
  <c r="G73" i="1"/>
  <c r="K65" i="1"/>
  <c r="I65" i="1"/>
  <c r="G65" i="1"/>
  <c r="J57" i="1"/>
  <c r="H57" i="1"/>
  <c r="F57" i="1"/>
  <c r="K49" i="1"/>
  <c r="I49" i="1"/>
  <c r="G49" i="1"/>
  <c r="K41" i="1"/>
  <c r="I41" i="1"/>
  <c r="G41" i="1"/>
  <c r="K33" i="1"/>
  <c r="I33" i="1"/>
  <c r="G33" i="1"/>
  <c r="K25" i="1"/>
  <c r="I25" i="1"/>
  <c r="G25" i="1"/>
  <c r="G4" i="3"/>
  <c r="G3" i="3"/>
  <c r="G5" i="3"/>
  <c r="AF49" i="1"/>
  <c r="AG49" i="1" s="1"/>
  <c r="AH31" i="1"/>
  <c r="AI31" i="1" s="1"/>
  <c r="G2" i="3"/>
  <c r="C64" i="1"/>
  <c r="C48" i="1"/>
  <c r="C42" i="1"/>
  <c r="C33" i="1"/>
  <c r="C21" i="1"/>
  <c r="C41" i="1"/>
  <c r="C16" i="1"/>
  <c r="D57" i="1"/>
  <c r="C49" i="1"/>
  <c r="C37" i="1"/>
  <c r="D55" i="1"/>
  <c r="C63" i="1"/>
  <c r="C34" i="1"/>
  <c r="D45" i="1"/>
  <c r="C92" i="1"/>
  <c r="D13" i="1"/>
  <c r="C84" i="1"/>
  <c r="D68" i="1"/>
  <c r="C76" i="1"/>
  <c r="D40" i="1"/>
  <c r="C56" i="1"/>
  <c r="C29" i="1"/>
  <c r="C28" i="1"/>
  <c r="C12" i="1"/>
  <c r="C26" i="1"/>
  <c r="C11" i="1"/>
  <c r="D36" i="1"/>
  <c r="Y14" i="1"/>
  <c r="C52" i="1"/>
  <c r="C25" i="1"/>
  <c r="C8" i="1"/>
  <c r="D51" i="1"/>
  <c r="C44" i="1"/>
  <c r="C65" i="1"/>
  <c r="C50" i="1"/>
  <c r="C24" i="1"/>
  <c r="D79" i="1"/>
  <c r="D47" i="1"/>
  <c r="C20" i="1"/>
  <c r="D62" i="1"/>
  <c r="C93" i="1"/>
  <c r="C60" i="1"/>
  <c r="C32" i="1"/>
  <c r="C18" i="1"/>
  <c r="X5" i="1"/>
  <c r="W4" i="1"/>
  <c r="X4" i="1"/>
  <c r="X6" i="1"/>
  <c r="W6" i="1"/>
  <c r="Z6" i="1"/>
  <c r="D74" i="1"/>
  <c r="C74" i="1"/>
  <c r="C43" i="1"/>
  <c r="D43" i="1"/>
  <c r="C35" i="1"/>
  <c r="D35" i="1"/>
  <c r="D58" i="1"/>
  <c r="C82" i="1"/>
  <c r="C7" i="1"/>
  <c r="D90" i="1"/>
  <c r="C90" i="1"/>
  <c r="C66" i="1"/>
  <c r="D66" i="1"/>
  <c r="C19" i="1"/>
  <c r="D19" i="1"/>
  <c r="C77" i="1"/>
  <c r="C59" i="1"/>
  <c r="D86" i="1"/>
  <c r="C5" i="1"/>
  <c r="D5" i="1"/>
  <c r="D54" i="1"/>
  <c r="C54" i="1"/>
  <c r="D39" i="1"/>
  <c r="C39" i="1"/>
  <c r="D31" i="1"/>
  <c r="C31" i="1"/>
  <c r="D23" i="1"/>
  <c r="C23" i="1"/>
  <c r="D15" i="1"/>
  <c r="C15" i="1"/>
  <c r="D85" i="1"/>
  <c r="C85" i="1"/>
  <c r="D69" i="1"/>
  <c r="C69" i="1"/>
  <c r="D61" i="1"/>
  <c r="C61" i="1"/>
  <c r="D53" i="1"/>
  <c r="C53" i="1"/>
  <c r="D46" i="1"/>
  <c r="C46" i="1"/>
  <c r="D38" i="1"/>
  <c r="C38" i="1"/>
  <c r="D30" i="1"/>
  <c r="C30" i="1"/>
  <c r="D22" i="1"/>
  <c r="C22" i="1"/>
  <c r="D14" i="1"/>
  <c r="C14" i="1"/>
  <c r="D6" i="1"/>
  <c r="C6" i="1"/>
  <c r="C67" i="1"/>
  <c r="D27" i="1"/>
  <c r="D94" i="1"/>
  <c r="C94" i="1"/>
  <c r="D17" i="1"/>
  <c r="C17" i="1"/>
  <c r="D9" i="1"/>
  <c r="C9" i="1"/>
  <c r="C89" i="1"/>
  <c r="C73" i="1"/>
  <c r="T8" i="1"/>
  <c r="C71" i="1"/>
  <c r="D71" i="1"/>
  <c r="D87" i="1"/>
  <c r="C81" i="1"/>
  <c r="C10" i="1"/>
  <c r="D78" i="1"/>
  <c r="C91" i="1"/>
  <c r="C83" i="1"/>
  <c r="C75" i="1"/>
  <c r="C88" i="1"/>
  <c r="C72" i="1"/>
  <c r="C80" i="1"/>
  <c r="C70" i="1"/>
  <c r="J69" i="1" l="1"/>
  <c r="H69" i="1"/>
  <c r="F69" i="1"/>
  <c r="F18" i="1"/>
  <c r="J18" i="1"/>
  <c r="H18" i="1"/>
  <c r="H80" i="1"/>
  <c r="J80" i="1"/>
  <c r="F80" i="1"/>
  <c r="J81" i="1"/>
  <c r="H81" i="1"/>
  <c r="F81" i="1"/>
  <c r="K9" i="1"/>
  <c r="I9" i="1"/>
  <c r="G9" i="1"/>
  <c r="G6" i="1"/>
  <c r="K6" i="1"/>
  <c r="I6" i="1"/>
  <c r="G38" i="1"/>
  <c r="K38" i="1"/>
  <c r="I38" i="1"/>
  <c r="K69" i="1"/>
  <c r="I69" i="1"/>
  <c r="G69" i="1"/>
  <c r="I31" i="1"/>
  <c r="G31" i="1"/>
  <c r="K31" i="1"/>
  <c r="H59" i="1"/>
  <c r="F59" i="1"/>
  <c r="J59" i="1"/>
  <c r="H7" i="1"/>
  <c r="J7" i="1"/>
  <c r="F7" i="1"/>
  <c r="G74" i="1"/>
  <c r="K74" i="1"/>
  <c r="I74" i="1"/>
  <c r="J32" i="1"/>
  <c r="F32" i="1"/>
  <c r="H32" i="1"/>
  <c r="F50" i="1"/>
  <c r="J50" i="1"/>
  <c r="H50" i="1"/>
  <c r="K36" i="1"/>
  <c r="I36" i="1"/>
  <c r="G36" i="1"/>
  <c r="J76" i="1"/>
  <c r="H76" i="1"/>
  <c r="F76" i="1"/>
  <c r="I55" i="1"/>
  <c r="G55" i="1"/>
  <c r="K55" i="1"/>
  <c r="F42" i="1"/>
  <c r="J42" i="1"/>
  <c r="H42" i="1"/>
  <c r="F38" i="1"/>
  <c r="J38" i="1"/>
  <c r="H38" i="1"/>
  <c r="F74" i="1"/>
  <c r="J74" i="1"/>
  <c r="H74" i="1"/>
  <c r="H63" i="1"/>
  <c r="F63" i="1"/>
  <c r="J63" i="1"/>
  <c r="J72" i="1"/>
  <c r="H72" i="1"/>
  <c r="F72" i="1"/>
  <c r="I87" i="1"/>
  <c r="G87" i="1"/>
  <c r="K87" i="1"/>
  <c r="H17" i="1"/>
  <c r="F17" i="1"/>
  <c r="J17" i="1"/>
  <c r="F14" i="1"/>
  <c r="J14" i="1"/>
  <c r="H14" i="1"/>
  <c r="F46" i="1"/>
  <c r="J46" i="1"/>
  <c r="H46" i="1"/>
  <c r="J85" i="1"/>
  <c r="H85" i="1"/>
  <c r="F85" i="1"/>
  <c r="H39" i="1"/>
  <c r="J39" i="1"/>
  <c r="F39" i="1"/>
  <c r="J77" i="1"/>
  <c r="H77" i="1"/>
  <c r="F77" i="1"/>
  <c r="F82" i="1"/>
  <c r="J82" i="1"/>
  <c r="H82" i="1"/>
  <c r="H60" i="1"/>
  <c r="J60" i="1"/>
  <c r="F60" i="1"/>
  <c r="J65" i="1"/>
  <c r="H65" i="1"/>
  <c r="F65" i="1"/>
  <c r="H11" i="1"/>
  <c r="J11" i="1"/>
  <c r="F11" i="1"/>
  <c r="K68" i="1"/>
  <c r="I68" i="1"/>
  <c r="G68" i="1"/>
  <c r="H37" i="1"/>
  <c r="J37" i="1"/>
  <c r="F37" i="1"/>
  <c r="J48" i="1"/>
  <c r="F48" i="1"/>
  <c r="H48" i="1"/>
  <c r="H3" i="3"/>
  <c r="N3" i="3" s="1"/>
  <c r="I3" i="3"/>
  <c r="O3" i="3" s="1"/>
  <c r="F6" i="1"/>
  <c r="J6" i="1"/>
  <c r="H6" i="1"/>
  <c r="H33" i="1"/>
  <c r="J33" i="1"/>
  <c r="F33" i="1"/>
  <c r="H4" i="3"/>
  <c r="L4" i="3" s="1"/>
  <c r="I4" i="3"/>
  <c r="M4" i="3" s="1"/>
  <c r="I5" i="3"/>
  <c r="M5" i="3" s="1"/>
  <c r="H5" i="3"/>
  <c r="L5" i="3" s="1"/>
  <c r="H88" i="1"/>
  <c r="J88" i="1"/>
  <c r="F88" i="1"/>
  <c r="G46" i="1"/>
  <c r="K46" i="1"/>
  <c r="I46" i="1"/>
  <c r="I19" i="1"/>
  <c r="G19" i="1"/>
  <c r="K19" i="1"/>
  <c r="J93" i="1"/>
  <c r="H93" i="1"/>
  <c r="F93" i="1"/>
  <c r="J44" i="1"/>
  <c r="F44" i="1"/>
  <c r="H44" i="1"/>
  <c r="F26" i="1"/>
  <c r="J26" i="1"/>
  <c r="H26" i="1"/>
  <c r="H84" i="1"/>
  <c r="J84" i="1"/>
  <c r="F84" i="1"/>
  <c r="H49" i="1"/>
  <c r="F49" i="1"/>
  <c r="J49" i="1"/>
  <c r="H64" i="1"/>
  <c r="J64" i="1"/>
  <c r="F64" i="1"/>
  <c r="H75" i="1"/>
  <c r="F75" i="1"/>
  <c r="J75" i="1"/>
  <c r="H71" i="1"/>
  <c r="F71" i="1"/>
  <c r="J71" i="1"/>
  <c r="F94" i="1"/>
  <c r="J94" i="1"/>
  <c r="H94" i="1"/>
  <c r="F22" i="1"/>
  <c r="J22" i="1"/>
  <c r="H22" i="1"/>
  <c r="J53" i="1"/>
  <c r="H53" i="1"/>
  <c r="F53" i="1"/>
  <c r="H15" i="1"/>
  <c r="J15" i="1"/>
  <c r="F15" i="1"/>
  <c r="F54" i="1"/>
  <c r="J54" i="1"/>
  <c r="H54" i="1"/>
  <c r="H19" i="1"/>
  <c r="J19" i="1"/>
  <c r="F19" i="1"/>
  <c r="I35" i="1"/>
  <c r="G35" i="1"/>
  <c r="K35" i="1"/>
  <c r="G62" i="1"/>
  <c r="K62" i="1"/>
  <c r="I62" i="1"/>
  <c r="I51" i="1"/>
  <c r="G51" i="1"/>
  <c r="K51" i="1"/>
  <c r="J12" i="1"/>
  <c r="F12" i="1"/>
  <c r="H12" i="1"/>
  <c r="K13" i="1"/>
  <c r="I13" i="1"/>
  <c r="G13" i="1"/>
  <c r="K57" i="1"/>
  <c r="I57" i="1"/>
  <c r="G57" i="1"/>
  <c r="F70" i="1"/>
  <c r="J70" i="1"/>
  <c r="H70" i="1"/>
  <c r="H31" i="1"/>
  <c r="J31" i="1"/>
  <c r="F31" i="1"/>
  <c r="J24" i="1"/>
  <c r="F24" i="1"/>
  <c r="H24" i="1"/>
  <c r="I71" i="1"/>
  <c r="G71" i="1"/>
  <c r="K71" i="1"/>
  <c r="K85" i="1"/>
  <c r="I85" i="1"/>
  <c r="G85" i="1"/>
  <c r="H83" i="1"/>
  <c r="F83" i="1"/>
  <c r="J83" i="1"/>
  <c r="G22" i="1"/>
  <c r="K22" i="1"/>
  <c r="I22" i="1"/>
  <c r="G54" i="1"/>
  <c r="K54" i="1"/>
  <c r="I54" i="1"/>
  <c r="H35" i="1"/>
  <c r="F35" i="1"/>
  <c r="J35" i="1"/>
  <c r="J20" i="1"/>
  <c r="F20" i="1"/>
  <c r="H20" i="1"/>
  <c r="J28" i="1"/>
  <c r="F28" i="1"/>
  <c r="H28" i="1"/>
  <c r="J92" i="1"/>
  <c r="H92" i="1"/>
  <c r="F92" i="1"/>
  <c r="H9" i="1"/>
  <c r="F9" i="1"/>
  <c r="J9" i="1"/>
  <c r="G90" i="1"/>
  <c r="K90" i="1"/>
  <c r="I90" i="1"/>
  <c r="K40" i="1"/>
  <c r="I40" i="1"/>
  <c r="G40" i="1"/>
  <c r="K17" i="1"/>
  <c r="I17" i="1"/>
  <c r="G17" i="1"/>
  <c r="I39" i="1"/>
  <c r="G39" i="1"/>
  <c r="K39" i="1"/>
  <c r="G94" i="1"/>
  <c r="K94" i="1"/>
  <c r="I94" i="1"/>
  <c r="K53" i="1"/>
  <c r="I53" i="1"/>
  <c r="G53" i="1"/>
  <c r="G66" i="1"/>
  <c r="K66" i="1"/>
  <c r="I66" i="1"/>
  <c r="J8" i="1"/>
  <c r="F8" i="1"/>
  <c r="H8" i="1"/>
  <c r="J16" i="1"/>
  <c r="F16" i="1"/>
  <c r="H16" i="1"/>
  <c r="F91" i="1"/>
  <c r="H91" i="1"/>
  <c r="J91" i="1"/>
  <c r="J73" i="1"/>
  <c r="H73" i="1"/>
  <c r="F73" i="1"/>
  <c r="I27" i="1"/>
  <c r="G27" i="1"/>
  <c r="K27" i="1"/>
  <c r="F30" i="1"/>
  <c r="J30" i="1"/>
  <c r="H30" i="1"/>
  <c r="J61" i="1"/>
  <c r="H61" i="1"/>
  <c r="F61" i="1"/>
  <c r="H23" i="1"/>
  <c r="J23" i="1"/>
  <c r="F23" i="1"/>
  <c r="K5" i="1"/>
  <c r="I5" i="1"/>
  <c r="G5" i="1"/>
  <c r="F66" i="1"/>
  <c r="J66" i="1"/>
  <c r="H66" i="1"/>
  <c r="I43" i="1"/>
  <c r="G43" i="1"/>
  <c r="K43" i="1"/>
  <c r="I47" i="1"/>
  <c r="G47" i="1"/>
  <c r="K47" i="1"/>
  <c r="H25" i="1"/>
  <c r="J25" i="1"/>
  <c r="F25" i="1"/>
  <c r="H29" i="1"/>
  <c r="J29" i="1"/>
  <c r="F29" i="1"/>
  <c r="K45" i="1"/>
  <c r="I45" i="1"/>
  <c r="G45" i="1"/>
  <c r="H41" i="1"/>
  <c r="F41" i="1"/>
  <c r="J41" i="1"/>
  <c r="AI49" i="1"/>
  <c r="F10" i="1"/>
  <c r="J10" i="1"/>
  <c r="H10" i="1"/>
  <c r="G86" i="1"/>
  <c r="K86" i="1"/>
  <c r="I86" i="1"/>
  <c r="G14" i="1"/>
  <c r="K14" i="1"/>
  <c r="I14" i="1"/>
  <c r="G58" i="1"/>
  <c r="K58" i="1"/>
  <c r="I58" i="1"/>
  <c r="I15" i="1"/>
  <c r="G15" i="1"/>
  <c r="K15" i="1"/>
  <c r="G78" i="1"/>
  <c r="K78" i="1"/>
  <c r="I78" i="1"/>
  <c r="J89" i="1"/>
  <c r="H89" i="1"/>
  <c r="F89" i="1"/>
  <c r="H67" i="1"/>
  <c r="F67" i="1"/>
  <c r="J67" i="1"/>
  <c r="G30" i="1"/>
  <c r="K30" i="1"/>
  <c r="I30" i="1"/>
  <c r="K61" i="1"/>
  <c r="I61" i="1"/>
  <c r="G61" i="1"/>
  <c r="I23" i="1"/>
  <c r="G23" i="1"/>
  <c r="K23" i="1"/>
  <c r="H5" i="1"/>
  <c r="J5" i="1"/>
  <c r="F5" i="1"/>
  <c r="F90" i="1"/>
  <c r="J90" i="1"/>
  <c r="H90" i="1"/>
  <c r="H43" i="1"/>
  <c r="F43" i="1"/>
  <c r="J43" i="1"/>
  <c r="I79" i="1"/>
  <c r="G79" i="1"/>
  <c r="K79" i="1"/>
  <c r="J52" i="1"/>
  <c r="F52" i="1"/>
  <c r="H52" i="1"/>
  <c r="H56" i="1"/>
  <c r="J56" i="1"/>
  <c r="F56" i="1"/>
  <c r="F34" i="1"/>
  <c r="J34" i="1"/>
  <c r="H34" i="1"/>
  <c r="H21" i="1"/>
  <c r="J21" i="1"/>
  <c r="F21" i="1"/>
  <c r="AJ31" i="1"/>
  <c r="AH49" i="1"/>
  <c r="H2" i="3"/>
  <c r="L2" i="3" s="1"/>
  <c r="I2" i="3"/>
  <c r="M2" i="3" s="1"/>
  <c r="Z14" i="1"/>
  <c r="X15" i="1"/>
  <c r="G6" i="3" s="1"/>
  <c r="T9" i="1"/>
  <c r="V9" i="1" s="1"/>
  <c r="V8" i="1"/>
  <c r="H6" i="3" l="1"/>
  <c r="L6" i="3" s="1"/>
  <c r="I6" i="3"/>
  <c r="M6" i="3" s="1"/>
  <c r="AF50" i="1"/>
  <c r="X23" i="1"/>
  <c r="W23" i="1"/>
  <c r="X22" i="1"/>
  <c r="W22" i="1"/>
  <c r="AH35" i="1"/>
  <c r="AH32" i="1"/>
  <c r="Y15" i="1"/>
  <c r="Z8" i="1"/>
  <c r="W8" i="1"/>
  <c r="X8" i="1"/>
  <c r="Y8" i="1"/>
  <c r="AH50" i="1" l="1"/>
  <c r="AG50" i="1"/>
  <c r="AI50" i="1"/>
  <c r="AK50" i="1" s="1"/>
  <c r="AI32" i="1"/>
  <c r="AJ32" i="1"/>
  <c r="AJ35" i="1"/>
  <c r="AI35" i="1"/>
  <c r="Z15" i="1"/>
  <c r="X16" i="1"/>
  <c r="G17" i="3" l="1"/>
  <c r="G16" i="3"/>
  <c r="AF51" i="1"/>
  <c r="AG51" i="1" s="1"/>
  <c r="G15" i="3"/>
  <c r="G14" i="3"/>
  <c r="G7" i="3"/>
  <c r="G8" i="3"/>
  <c r="AH51" i="1"/>
  <c r="AH36" i="1"/>
  <c r="AI36" i="1" s="1"/>
  <c r="AH37" i="1"/>
  <c r="W24" i="1"/>
  <c r="X25" i="1"/>
  <c r="W25" i="1"/>
  <c r="X24" i="1"/>
  <c r="AH33" i="1"/>
  <c r="Y16" i="1"/>
  <c r="AI51" i="1" l="1"/>
  <c r="I16" i="3"/>
  <c r="K16" i="3" s="1"/>
  <c r="H16" i="3"/>
  <c r="J16" i="3" s="1"/>
  <c r="H17" i="3"/>
  <c r="N17" i="3" s="1"/>
  <c r="I17" i="3"/>
  <c r="O17" i="3" s="1"/>
  <c r="H7" i="3"/>
  <c r="N7" i="3" s="1"/>
  <c r="I7" i="3"/>
  <c r="O7" i="3" s="1"/>
  <c r="H14" i="3"/>
  <c r="N14" i="3" s="1"/>
  <c r="I14" i="3"/>
  <c r="O14" i="3" s="1"/>
  <c r="I8" i="3"/>
  <c r="M8" i="3" s="1"/>
  <c r="H8" i="3"/>
  <c r="L8" i="3" s="1"/>
  <c r="H15" i="3"/>
  <c r="N15" i="3" s="1"/>
  <c r="I15" i="3"/>
  <c r="O15" i="3" s="1"/>
  <c r="AJ37" i="1"/>
  <c r="AI37" i="1"/>
  <c r="AJ36" i="1"/>
  <c r="AI33" i="1"/>
  <c r="AJ33" i="1"/>
  <c r="X17" i="1"/>
  <c r="Z16" i="1"/>
  <c r="G13" i="3" l="1"/>
  <c r="G10" i="3"/>
  <c r="G9" i="3"/>
  <c r="G12" i="3"/>
  <c r="G11" i="3"/>
  <c r="AF52" i="1"/>
  <c r="AG52" i="1" s="1"/>
  <c r="X26" i="1"/>
  <c r="W26" i="1"/>
  <c r="W27" i="1"/>
  <c r="X27" i="1"/>
  <c r="Y17" i="1"/>
  <c r="AH34" i="1"/>
  <c r="AI52" i="1" l="1"/>
  <c r="I12" i="3"/>
  <c r="M12" i="3" s="1"/>
  <c r="H12" i="3"/>
  <c r="L12" i="3" s="1"/>
  <c r="H9" i="3"/>
  <c r="L9" i="3" s="1"/>
  <c r="I9" i="3"/>
  <c r="M9" i="3" s="1"/>
  <c r="H11" i="3"/>
  <c r="L11" i="3" s="1"/>
  <c r="I11" i="3"/>
  <c r="M11" i="3" s="1"/>
  <c r="H10" i="3"/>
  <c r="L10" i="3" s="1"/>
  <c r="I10" i="3"/>
  <c r="M10" i="3" s="1"/>
  <c r="AH52" i="1"/>
  <c r="H13" i="3"/>
  <c r="L13" i="3" s="1"/>
  <c r="I13" i="3"/>
  <c r="M13" i="3" s="1"/>
  <c r="AI34" i="1"/>
  <c r="AJ34" i="1"/>
</calcChain>
</file>

<file path=xl/sharedStrings.xml><?xml version="1.0" encoding="utf-8"?>
<sst xmlns="http://schemas.openxmlformats.org/spreadsheetml/2006/main" count="149" uniqueCount="90">
  <si>
    <t>x</t>
  </si>
  <si>
    <t>y</t>
  </si>
  <si>
    <t>r</t>
  </si>
  <si>
    <t>th</t>
  </si>
  <si>
    <t>th(r)</t>
  </si>
  <si>
    <t>Angle</t>
  </si>
  <si>
    <t>y2</t>
  </si>
  <si>
    <t>Cat</t>
  </si>
  <si>
    <t>Start</t>
  </si>
  <si>
    <t>End</t>
  </si>
  <si>
    <t>Start angle</t>
  </si>
  <si>
    <t>End Angle</t>
  </si>
  <si>
    <t>x2</t>
  </si>
  <si>
    <t>length:</t>
  </si>
  <si>
    <t>start distance</t>
  </si>
  <si>
    <t>Y</t>
  </si>
  <si>
    <t>Line1S</t>
  </si>
  <si>
    <t>Line1E</t>
  </si>
  <si>
    <t>Line2S</t>
  </si>
  <si>
    <t>Line2E</t>
  </si>
  <si>
    <t>Line3S</t>
  </si>
  <si>
    <t>Line3E</t>
  </si>
  <si>
    <t>r_Start</t>
  </si>
  <si>
    <t>r_End</t>
  </si>
  <si>
    <t>rad_line</t>
  </si>
  <si>
    <t>Category Title</t>
  </si>
  <si>
    <t>Project</t>
  </si>
  <si>
    <t>Category</t>
  </si>
  <si>
    <t>Project Name</t>
  </si>
  <si>
    <t>Time</t>
  </si>
  <si>
    <t>a_frac (0 - 1)</t>
  </si>
  <si>
    <t>alpha</t>
  </si>
  <si>
    <t>X</t>
  </si>
  <si>
    <t>Z</t>
  </si>
  <si>
    <t>YY</t>
  </si>
  <si>
    <t xml:space="preserve">Y </t>
  </si>
  <si>
    <t xml:space="preserve">2020
</t>
  </si>
  <si>
    <t xml:space="preserve">2019
</t>
  </si>
  <si>
    <t xml:space="preserve">2021
</t>
  </si>
  <si>
    <t>Test</t>
  </si>
  <si>
    <t>Test2</t>
  </si>
  <si>
    <t>Test 3</t>
  </si>
  <si>
    <t>Project Status</t>
  </si>
  <si>
    <t>Xcond1</t>
  </si>
  <si>
    <t>xcond22</t>
  </si>
  <si>
    <t>ycond2</t>
  </si>
  <si>
    <t>xcond3</t>
  </si>
  <si>
    <t>ycond3</t>
  </si>
  <si>
    <t>ycond22</t>
  </si>
  <si>
    <t>Status</t>
  </si>
  <si>
    <t>Green</t>
  </si>
  <si>
    <t>Red</t>
  </si>
  <si>
    <t>Amber</t>
  </si>
  <si>
    <t>Respomsible</t>
  </si>
  <si>
    <t xml:space="preserve">Testing VBA </t>
  </si>
  <si>
    <t>VBA Folders 2</t>
  </si>
  <si>
    <t>VBA Folders 3</t>
  </si>
  <si>
    <t>Testing P3 Cat 3</t>
  </si>
  <si>
    <t>Testing VBA 31 March</t>
  </si>
  <si>
    <t>VBA Folders 4.1</t>
  </si>
  <si>
    <t>Cat 4 Prj</t>
  </si>
  <si>
    <t>Category 4 Prj</t>
  </si>
  <si>
    <t>VBA Folders 4.1.2</t>
  </si>
  <si>
    <t>VBA Folders 4.1.3</t>
  </si>
  <si>
    <t xml:space="preserve">ONE </t>
  </si>
  <si>
    <t>CAT 1 TEST</t>
  </si>
  <si>
    <t>Column1</t>
  </si>
  <si>
    <t>a_frac</t>
  </si>
  <si>
    <t>Category No</t>
  </si>
  <si>
    <t>Base Assignment 1</t>
  </si>
  <si>
    <t>Base Assignment 2</t>
  </si>
  <si>
    <t>Base Assignment 3</t>
  </si>
  <si>
    <t>Base Assignment 4</t>
  </si>
  <si>
    <t xml:space="preserve">PowerBI </t>
  </si>
  <si>
    <t>LSE</t>
  </si>
  <si>
    <t>Testing P3 Cat 3.3</t>
  </si>
  <si>
    <t>Testing P3 again</t>
  </si>
  <si>
    <t>3. Simplify processes&amp;admin burden reduction</t>
  </si>
  <si>
    <t>Name</t>
  </si>
  <si>
    <t>xred</t>
  </si>
  <si>
    <t>yred</t>
  </si>
  <si>
    <t>xgreen</t>
  </si>
  <si>
    <t>ygreen</t>
  </si>
  <si>
    <t>xyellow</t>
  </si>
  <si>
    <t>Status Code</t>
  </si>
  <si>
    <t>yyellow</t>
  </si>
  <si>
    <t xml:space="preserve">Ad Hoc requests </t>
  </si>
  <si>
    <t>1. Advanced Analytics</t>
  </si>
  <si>
    <t>2. Standardize, simplify and enhance BI content</t>
  </si>
  <si>
    <t xml:space="preserve">4. System maintanance execution and optimisation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</si>
</sst>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1" fillId="2" borderId="1" xfId="0" applyFont="1" applyFill="1" applyBorder="1"/>
    <xf numFmtId="0" fontId="2" fillId="2" borderId="1" xfId="0" applyFont="1" applyFill="1" applyBorder="1"/>
    <xf numFmtId="0" fontId="0" fillId="0" borderId="0" xfId="0" applyNumberFormat="1"/>
    <xf numFmtId="22" fontId="0" fillId="0" borderId="0" xfId="0" applyNumberFormat="1"/>
    <xf numFmtId="0" fontId="4" fillId="0" borderId="0" xfId="0" applyFont="1"/>
  </cellXfs>
  <cellStyles count="1"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012982437597987E-2"/>
          <c:y val="5.1870240984988034E-2"/>
          <c:w val="0.94291857828504899"/>
          <c:h val="0.92056151517645657"/>
        </c:manualLayout>
      </c:layout>
      <c:scatterChart>
        <c:scatterStyle val="lineMarker"/>
        <c:varyColors val="0"/>
        <c:ser>
          <c:idx val="1"/>
          <c:order val="0"/>
          <c:tx>
            <c:strRef>
              <c:f>Chart!$F$4</c:f>
              <c:strCache>
                <c:ptCount val="1"/>
                <c:pt idx="0">
                  <c:v>2019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Chart!$F$6:$F$94</c:f>
              <c:numCache>
                <c:formatCode>General</c:formatCode>
                <c:ptCount val="89"/>
                <c:pt idx="0">
                  <c:v>2.999543085469174</c:v>
                </c:pt>
                <c:pt idx="1">
                  <c:v>2.9981724810572872</c:v>
                </c:pt>
                <c:pt idx="2">
                  <c:v>2.9958886042637216</c:v>
                </c:pt>
                <c:pt idx="3">
                  <c:v>2.9926921507794724</c:v>
                </c:pt>
                <c:pt idx="4">
                  <c:v>2.9885840942752369</c:v>
                </c:pt>
                <c:pt idx="5">
                  <c:v>2.9835656861048196</c:v>
                </c:pt>
                <c:pt idx="6">
                  <c:v>2.9776384549239658</c:v>
                </c:pt>
                <c:pt idx="7">
                  <c:v>2.9708042062247113</c:v>
                </c:pt>
                <c:pt idx="8">
                  <c:v>2.9630650217854133</c:v>
                </c:pt>
                <c:pt idx="9">
                  <c:v>2.9544232590366239</c:v>
                </c:pt>
                <c:pt idx="10">
                  <c:v>2.9448815503429921</c:v>
                </c:pt>
                <c:pt idx="11">
                  <c:v>2.9344428022014171</c:v>
                </c:pt>
                <c:pt idx="12">
                  <c:v>2.9231101943557056</c:v>
                </c:pt>
                <c:pt idx="13">
                  <c:v>2.9108871788279895</c:v>
                </c:pt>
                <c:pt idx="14">
                  <c:v>2.897777478867205</c:v>
                </c:pt>
                <c:pt idx="15">
                  <c:v>2.8837850878149567</c:v>
                </c:pt>
                <c:pt idx="16">
                  <c:v>2.8689142678891066</c:v>
                </c:pt>
                <c:pt idx="17">
                  <c:v>2.8531695488854605</c:v>
                </c:pt>
                <c:pt idx="18">
                  <c:v>2.8365557267979504</c:v>
                </c:pt>
                <c:pt idx="19">
                  <c:v>2.8190778623577253</c:v>
                </c:pt>
                <c:pt idx="20">
                  <c:v>2.8007412794916053</c:v>
                </c:pt>
                <c:pt idx="21">
                  <c:v>2.7815515637003623</c:v>
                </c:pt>
                <c:pt idx="22">
                  <c:v>2.761514560357321</c:v>
                </c:pt>
                <c:pt idx="23">
                  <c:v>2.7406363729278027</c:v>
                </c:pt>
                <c:pt idx="24">
                  <c:v>2.7189233611099497</c:v>
                </c:pt>
                <c:pt idx="25">
                  <c:v>2.6963821388975013</c:v>
                </c:pt>
                <c:pt idx="26">
                  <c:v>2.6730195725651038</c:v>
                </c:pt>
                <c:pt idx="27">
                  <c:v>2.648842778576781</c:v>
                </c:pt>
                <c:pt idx="28">
                  <c:v>2.623859121418187</c:v>
                </c:pt>
                <c:pt idx="29">
                  <c:v>2.598076211353316</c:v>
                </c:pt>
                <c:pt idx="30">
                  <c:v>2.5715019021063368</c:v>
                </c:pt>
                <c:pt idx="31">
                  <c:v>2.544144288469278</c:v>
                </c:pt>
                <c:pt idx="32">
                  <c:v>2.5160117038362722</c:v>
                </c:pt>
                <c:pt idx="33">
                  <c:v>2.4871127176651253</c:v>
                </c:pt>
                <c:pt idx="34">
                  <c:v>2.4574561328669753</c:v>
                </c:pt>
                <c:pt idx="35">
                  <c:v>2.4270509831248424</c:v>
                </c:pt>
                <c:pt idx="36">
                  <c:v>2.3959065301418785</c:v>
                </c:pt>
                <c:pt idx="37">
                  <c:v>2.3640322608201658</c:v>
                </c:pt>
                <c:pt idx="38">
                  <c:v>2.3314378843709127</c:v>
                </c:pt>
                <c:pt idx="39">
                  <c:v>2.2981333293569342</c:v>
                </c:pt>
                <c:pt idx="40">
                  <c:v>2.2641287406683159</c:v>
                </c:pt>
                <c:pt idx="41">
                  <c:v>2.229434476432183</c:v>
                </c:pt>
                <c:pt idx="42">
                  <c:v>2.1940611048575116</c:v>
                </c:pt>
                <c:pt idx="43">
                  <c:v>2.1580194010159537</c:v>
                </c:pt>
                <c:pt idx="44">
                  <c:v>2.1213203435596428</c:v>
                </c:pt>
                <c:pt idx="45">
                  <c:v>2.0839751113769922</c:v>
                </c:pt>
                <c:pt idx="46">
                  <c:v>2.0073918190765747</c:v>
                </c:pt>
                <c:pt idx="47">
                  <c:v>1.9681770869715223</c:v>
                </c:pt>
                <c:pt idx="48">
                  <c:v>1.9283628290596182</c:v>
                </c:pt>
                <c:pt idx="49">
                  <c:v>1.8879611731495125</c:v>
                </c:pt>
                <c:pt idx="50">
                  <c:v>1.846984425976975</c:v>
                </c:pt>
                <c:pt idx="51">
                  <c:v>1.805445069456145</c:v>
                </c:pt>
                <c:pt idx="52">
                  <c:v>1.7633557568774194</c:v>
                </c:pt>
                <c:pt idx="53">
                  <c:v>1.7207293090531386</c:v>
                </c:pt>
                <c:pt idx="54">
                  <c:v>1.6775787104122404</c:v>
                </c:pt>
                <c:pt idx="55">
                  <c:v>1.6339171050450816</c:v>
                </c:pt>
                <c:pt idx="56">
                  <c:v>1.5897577926996147</c:v>
                </c:pt>
                <c:pt idx="57">
                  <c:v>1.5451142247301632</c:v>
                </c:pt>
                <c:pt idx="58">
                  <c:v>1.5000000000000004</c:v>
                </c:pt>
                <c:pt idx="59">
                  <c:v>1.4544288607390112</c:v>
                </c:pt>
                <c:pt idx="60">
                  <c:v>1.4084146883576727</c:v>
                </c:pt>
                <c:pt idx="61">
                  <c:v>1.3619714992186405</c:v>
                </c:pt>
                <c:pt idx="62">
                  <c:v>1.3151134403672324</c:v>
                </c:pt>
                <c:pt idx="63">
                  <c:v>1.2678547852220983</c:v>
                </c:pt>
                <c:pt idx="64">
                  <c:v>1.2202099292274011</c:v>
                </c:pt>
                <c:pt idx="65">
                  <c:v>1.1721933854678213</c:v>
                </c:pt>
                <c:pt idx="66">
                  <c:v>1.1238197802477365</c:v>
                </c:pt>
                <c:pt idx="67">
                  <c:v>1.0751038486359006</c:v>
                </c:pt>
                <c:pt idx="68">
                  <c:v>1.0260604299770064</c:v>
                </c:pt>
                <c:pt idx="69">
                  <c:v>0.97670446337147032</c:v>
                </c:pt>
                <c:pt idx="70">
                  <c:v>0.92705098312484235</c:v>
                </c:pt>
                <c:pt idx="71">
                  <c:v>0.87711511416821031</c:v>
                </c:pt>
                <c:pt idx="72">
                  <c:v>0.82691206745099755</c:v>
                </c:pt>
                <c:pt idx="73">
                  <c:v>0.77645713530756222</c:v>
                </c:pt>
                <c:pt idx="74">
                  <c:v>0.725765686799003</c:v>
                </c:pt>
                <c:pt idx="75">
                  <c:v>0.67485316303159548</c:v>
                </c:pt>
                <c:pt idx="76">
                  <c:v>0.62373507245327775</c:v>
                </c:pt>
                <c:pt idx="77">
                  <c:v>0.57242698612963472</c:v>
                </c:pt>
                <c:pt idx="78">
                  <c:v>0.52094453300079124</c:v>
                </c:pt>
                <c:pt idx="79">
                  <c:v>0.46930339512069275</c:v>
                </c:pt>
                <c:pt idx="80">
                  <c:v>0.4175193028801964</c:v>
                </c:pt>
                <c:pt idx="81">
                  <c:v>0.36560803021544247</c:v>
                </c:pt>
                <c:pt idx="82">
                  <c:v>0.31358538980296036</c:v>
                </c:pt>
                <c:pt idx="83">
                  <c:v>0.26146722824297508</c:v>
                </c:pt>
                <c:pt idx="84">
                  <c:v>0.20926942123237569</c:v>
                </c:pt>
                <c:pt idx="85">
                  <c:v>0.15700786872883191</c:v>
                </c:pt>
                <c:pt idx="86">
                  <c:v>0.10469849010750323</c:v>
                </c:pt>
                <c:pt idx="87">
                  <c:v>5.2357219311850792E-2</c:v>
                </c:pt>
                <c:pt idx="88">
                  <c:v>1.83772268236293E-16</c:v>
                </c:pt>
              </c:numCache>
            </c:numRef>
          </c:xVal>
          <c:yVal>
            <c:numRef>
              <c:f>Chart!$G$5:$G$93</c:f>
              <c:numCache>
                <c:formatCode>General</c:formatCode>
                <c:ptCount val="89"/>
                <c:pt idx="0">
                  <c:v>0</c:v>
                </c:pt>
                <c:pt idx="1">
                  <c:v>5.2357219311850535E-2</c:v>
                </c:pt>
                <c:pt idx="2">
                  <c:v>0.1046984901075029</c:v>
                </c:pt>
                <c:pt idx="3">
                  <c:v>0.15700786872883149</c:v>
                </c:pt>
                <c:pt idx="4">
                  <c:v>0.20926942123237591</c:v>
                </c:pt>
                <c:pt idx="5">
                  <c:v>0.26146722824297453</c:v>
                </c:pt>
                <c:pt idx="6">
                  <c:v>0.31358538980296036</c:v>
                </c:pt>
                <c:pt idx="7">
                  <c:v>0.36560803021544241</c:v>
                </c:pt>
                <c:pt idx="8">
                  <c:v>0.41751930288019634</c:v>
                </c:pt>
                <c:pt idx="9">
                  <c:v>0.46930339512069263</c:v>
                </c:pt>
                <c:pt idx="10">
                  <c:v>0.52094453300079102</c:v>
                </c:pt>
                <c:pt idx="11">
                  <c:v>0.57242698612963439</c:v>
                </c:pt>
                <c:pt idx="12">
                  <c:v>0.62373507245327797</c:v>
                </c:pt>
                <c:pt idx="13">
                  <c:v>0.67485316303159493</c:v>
                </c:pt>
                <c:pt idx="14">
                  <c:v>0.72576568679900322</c:v>
                </c:pt>
                <c:pt idx="15">
                  <c:v>0.77645713530756222</c:v>
                </c:pt>
                <c:pt idx="16">
                  <c:v>0.82691206745099755</c:v>
                </c:pt>
                <c:pt idx="17">
                  <c:v>0.87711511416821009</c:v>
                </c:pt>
                <c:pt idx="18">
                  <c:v>0.92705098312484213</c:v>
                </c:pt>
                <c:pt idx="19">
                  <c:v>0.9767044633714701</c:v>
                </c:pt>
                <c:pt idx="20">
                  <c:v>1.0260604299770062</c:v>
                </c:pt>
                <c:pt idx="21">
                  <c:v>1.0751038486359008</c:v>
                </c:pt>
                <c:pt idx="22">
                  <c:v>1.1238197802477361</c:v>
                </c:pt>
                <c:pt idx="23">
                  <c:v>1.1721933854678213</c:v>
                </c:pt>
                <c:pt idx="24">
                  <c:v>1.2202099292274005</c:v>
                </c:pt>
                <c:pt idx="25">
                  <c:v>1.2678547852220983</c:v>
                </c:pt>
                <c:pt idx="26">
                  <c:v>1.3151134403672322</c:v>
                </c:pt>
                <c:pt idx="27">
                  <c:v>1.3619714992186402</c:v>
                </c:pt>
                <c:pt idx="28">
                  <c:v>1.4084146883576725</c:v>
                </c:pt>
                <c:pt idx="29">
                  <c:v>1.4544288607390112</c:v>
                </c:pt>
                <c:pt idx="30">
                  <c:v>1.4999999999999998</c:v>
                </c:pt>
                <c:pt idx="31">
                  <c:v>1.5451142247301624</c:v>
                </c:pt>
                <c:pt idx="32">
                  <c:v>1.5897577926996147</c:v>
                </c:pt>
                <c:pt idx="33">
                  <c:v>1.6339171050450809</c:v>
                </c:pt>
                <c:pt idx="34">
                  <c:v>1.6775787104122404</c:v>
                </c:pt>
                <c:pt idx="35">
                  <c:v>1.7207293090531381</c:v>
                </c:pt>
                <c:pt idx="36">
                  <c:v>1.7633557568774194</c:v>
                </c:pt>
                <c:pt idx="37">
                  <c:v>1.8054450694561448</c:v>
                </c:pt>
                <c:pt idx="38">
                  <c:v>1.846984425976975</c:v>
                </c:pt>
                <c:pt idx="39">
                  <c:v>1.8879611731495125</c:v>
                </c:pt>
                <c:pt idx="40">
                  <c:v>1.9283628290596178</c:v>
                </c:pt>
                <c:pt idx="41">
                  <c:v>1.9681770869715218</c:v>
                </c:pt>
                <c:pt idx="42">
                  <c:v>2.0073918190765747</c:v>
                </c:pt>
                <c:pt idx="43">
                  <c:v>2.0459950801874953</c:v>
                </c:pt>
                <c:pt idx="44">
                  <c:v>2.0839751113769918</c:v>
                </c:pt>
                <c:pt idx="45">
                  <c:v>2.1213203435596424</c:v>
                </c:pt>
                <c:pt idx="46">
                  <c:v>2.1580194010159532</c:v>
                </c:pt>
                <c:pt idx="47">
                  <c:v>2.2294344764321825</c:v>
                </c:pt>
                <c:pt idx="48">
                  <c:v>2.2641287406683155</c:v>
                </c:pt>
                <c:pt idx="49">
                  <c:v>2.2981333293569342</c:v>
                </c:pt>
                <c:pt idx="50">
                  <c:v>2.3314378843709123</c:v>
                </c:pt>
                <c:pt idx="51">
                  <c:v>2.3640322608201658</c:v>
                </c:pt>
                <c:pt idx="52">
                  <c:v>2.3959065301418785</c:v>
                </c:pt>
                <c:pt idx="53">
                  <c:v>2.4270509831248424</c:v>
                </c:pt>
                <c:pt idx="54">
                  <c:v>2.4574561328669753</c:v>
                </c:pt>
                <c:pt idx="55">
                  <c:v>2.4871127176651253</c:v>
                </c:pt>
                <c:pt idx="56">
                  <c:v>2.5160117038362717</c:v>
                </c:pt>
                <c:pt idx="57">
                  <c:v>2.544144288469278</c:v>
                </c:pt>
                <c:pt idx="58">
                  <c:v>2.5715019021063368</c:v>
                </c:pt>
                <c:pt idx="59">
                  <c:v>2.598076211353316</c:v>
                </c:pt>
                <c:pt idx="60">
                  <c:v>2.623859121418187</c:v>
                </c:pt>
                <c:pt idx="61">
                  <c:v>2.6488427785767805</c:v>
                </c:pt>
                <c:pt idx="62">
                  <c:v>2.6730195725651034</c:v>
                </c:pt>
                <c:pt idx="63">
                  <c:v>2.6963821388975013</c:v>
                </c:pt>
                <c:pt idx="64">
                  <c:v>2.7189233611099497</c:v>
                </c:pt>
                <c:pt idx="65">
                  <c:v>2.7406363729278027</c:v>
                </c:pt>
                <c:pt idx="66">
                  <c:v>2.761514560357321</c:v>
                </c:pt>
                <c:pt idx="67">
                  <c:v>2.7815515637003618</c:v>
                </c:pt>
                <c:pt idx="68">
                  <c:v>2.8007412794916053</c:v>
                </c:pt>
                <c:pt idx="69">
                  <c:v>2.8190778623577248</c:v>
                </c:pt>
                <c:pt idx="70">
                  <c:v>2.8365557267979504</c:v>
                </c:pt>
                <c:pt idx="71">
                  <c:v>2.8531695488854605</c:v>
                </c:pt>
                <c:pt idx="72">
                  <c:v>2.8689142678891062</c:v>
                </c:pt>
                <c:pt idx="73">
                  <c:v>2.8837850878149567</c:v>
                </c:pt>
                <c:pt idx="74">
                  <c:v>2.897777478867205</c:v>
                </c:pt>
                <c:pt idx="75">
                  <c:v>2.9108871788279895</c:v>
                </c:pt>
                <c:pt idx="76">
                  <c:v>2.9231101943557056</c:v>
                </c:pt>
                <c:pt idx="77">
                  <c:v>2.9344428022014171</c:v>
                </c:pt>
                <c:pt idx="78">
                  <c:v>2.9448815503429921</c:v>
                </c:pt>
                <c:pt idx="79">
                  <c:v>2.9544232590366239</c:v>
                </c:pt>
                <c:pt idx="80">
                  <c:v>2.9630650217854133</c:v>
                </c:pt>
                <c:pt idx="81">
                  <c:v>2.9708042062247113</c:v>
                </c:pt>
                <c:pt idx="82">
                  <c:v>2.9776384549239658</c:v>
                </c:pt>
                <c:pt idx="83">
                  <c:v>2.9835656861048196</c:v>
                </c:pt>
                <c:pt idx="84">
                  <c:v>2.9885840942752369</c:v>
                </c:pt>
                <c:pt idx="85">
                  <c:v>2.9926921507794724</c:v>
                </c:pt>
                <c:pt idx="86">
                  <c:v>2.9958886042637216</c:v>
                </c:pt>
                <c:pt idx="87">
                  <c:v>2.9981724810572872</c:v>
                </c:pt>
                <c:pt idx="88">
                  <c:v>2.999543085469174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9E-43C3-A114-4BCB1C25B4B8}"/>
            </c:ext>
          </c:extLst>
        </c:ser>
        <c:ser>
          <c:idx val="2"/>
          <c:order val="1"/>
          <c:tx>
            <c:strRef>
              <c:f>Chart!$H$4</c:f>
              <c:strCache>
                <c:ptCount val="1"/>
                <c:pt idx="0">
                  <c:v>2020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Chart!$H$6:$H$94</c:f>
              <c:numCache>
                <c:formatCode>General</c:formatCode>
                <c:ptCount val="89"/>
                <c:pt idx="0">
                  <c:v>1.9996953903127825</c:v>
                </c:pt>
                <c:pt idx="1">
                  <c:v>1.9987816540381915</c:v>
                </c:pt>
                <c:pt idx="2">
                  <c:v>1.9972590695091477</c:v>
                </c:pt>
                <c:pt idx="3">
                  <c:v>1.9951281005196484</c:v>
                </c:pt>
                <c:pt idx="4">
                  <c:v>1.9923893961834911</c:v>
                </c:pt>
                <c:pt idx="5">
                  <c:v>1.9890437907365466</c:v>
                </c:pt>
                <c:pt idx="6">
                  <c:v>1.985092303282644</c:v>
                </c:pt>
                <c:pt idx="7">
                  <c:v>1.9805361374831407</c:v>
                </c:pt>
                <c:pt idx="8">
                  <c:v>1.9753766811902755</c:v>
                </c:pt>
                <c:pt idx="9">
                  <c:v>1.969615506024416</c:v>
                </c:pt>
                <c:pt idx="10">
                  <c:v>1.963254366895328</c:v>
                </c:pt>
                <c:pt idx="11">
                  <c:v>1.9562952014676114</c:v>
                </c:pt>
                <c:pt idx="12">
                  <c:v>1.9487401295704705</c:v>
                </c:pt>
                <c:pt idx="13">
                  <c:v>1.9405914525519929</c:v>
                </c:pt>
                <c:pt idx="14">
                  <c:v>1.9318516525781366</c:v>
                </c:pt>
                <c:pt idx="15">
                  <c:v>1.9225233918766378</c:v>
                </c:pt>
                <c:pt idx="16">
                  <c:v>1.9126095119260711</c:v>
                </c:pt>
                <c:pt idx="17">
                  <c:v>1.9021130325903071</c:v>
                </c:pt>
                <c:pt idx="18">
                  <c:v>1.8910371511986337</c:v>
                </c:pt>
                <c:pt idx="19">
                  <c:v>1.8793852415718169</c:v>
                </c:pt>
                <c:pt idx="20">
                  <c:v>1.8671608529944035</c:v>
                </c:pt>
                <c:pt idx="21">
                  <c:v>1.8543677091335748</c:v>
                </c:pt>
                <c:pt idx="22">
                  <c:v>1.8410097069048807</c:v>
                </c:pt>
                <c:pt idx="23">
                  <c:v>1.8270909152852017</c:v>
                </c:pt>
                <c:pt idx="24">
                  <c:v>1.8126155740732999</c:v>
                </c:pt>
                <c:pt idx="25">
                  <c:v>1.7975880925983341</c:v>
                </c:pt>
                <c:pt idx="26">
                  <c:v>1.7820130483767358</c:v>
                </c:pt>
                <c:pt idx="27">
                  <c:v>1.765895185717854</c:v>
                </c:pt>
                <c:pt idx="28">
                  <c:v>1.7492394142787915</c:v>
                </c:pt>
                <c:pt idx="29">
                  <c:v>1.7320508075688774</c:v>
                </c:pt>
                <c:pt idx="30">
                  <c:v>1.7143346014042247</c:v>
                </c:pt>
                <c:pt idx="31">
                  <c:v>1.6960961923128519</c:v>
                </c:pt>
                <c:pt idx="32">
                  <c:v>1.6773411358908481</c:v>
                </c:pt>
                <c:pt idx="33">
                  <c:v>1.6580751451100835</c:v>
                </c:pt>
                <c:pt idx="34">
                  <c:v>1.6383040885779836</c:v>
                </c:pt>
                <c:pt idx="35">
                  <c:v>1.6180339887498949</c:v>
                </c:pt>
                <c:pt idx="36">
                  <c:v>1.5972710200945857</c:v>
                </c:pt>
                <c:pt idx="37">
                  <c:v>1.5760215072134438</c:v>
                </c:pt>
                <c:pt idx="38">
                  <c:v>1.5542919229139418</c:v>
                </c:pt>
                <c:pt idx="39">
                  <c:v>1.532088886237956</c:v>
                </c:pt>
                <c:pt idx="40">
                  <c:v>1.509419160445544</c:v>
                </c:pt>
                <c:pt idx="41">
                  <c:v>1.4862896509547885</c:v>
                </c:pt>
                <c:pt idx="42">
                  <c:v>1.4627074032383409</c:v>
                </c:pt>
                <c:pt idx="43">
                  <c:v>1.4386796006773024</c:v>
                </c:pt>
                <c:pt idx="44">
                  <c:v>1.4142135623730951</c:v>
                </c:pt>
                <c:pt idx="45">
                  <c:v>1.3893167409179947</c:v>
                </c:pt>
                <c:pt idx="46">
                  <c:v>1.3382612127177165</c:v>
                </c:pt>
                <c:pt idx="47">
                  <c:v>1.3121180579810148</c:v>
                </c:pt>
                <c:pt idx="48">
                  <c:v>1.2855752193730787</c:v>
                </c:pt>
                <c:pt idx="49">
                  <c:v>1.258640782099675</c:v>
                </c:pt>
                <c:pt idx="50">
                  <c:v>1.2313229506513166</c:v>
                </c:pt>
                <c:pt idx="51">
                  <c:v>1.2036300463040968</c:v>
                </c:pt>
                <c:pt idx="52">
                  <c:v>1.1755705045849463</c:v>
                </c:pt>
                <c:pt idx="53">
                  <c:v>1.1471528727020923</c:v>
                </c:pt>
                <c:pt idx="54">
                  <c:v>1.1183858069414936</c:v>
                </c:pt>
                <c:pt idx="55">
                  <c:v>1.0892780700300544</c:v>
                </c:pt>
                <c:pt idx="56">
                  <c:v>1.0598385284664098</c:v>
                </c:pt>
                <c:pt idx="57">
                  <c:v>1.0300761498201088</c:v>
                </c:pt>
                <c:pt idx="58">
                  <c:v>1.0000000000000002</c:v>
                </c:pt>
                <c:pt idx="59">
                  <c:v>0.96961924049267423</c:v>
                </c:pt>
                <c:pt idx="60">
                  <c:v>0.93894312557178172</c:v>
                </c:pt>
                <c:pt idx="61">
                  <c:v>0.90798099947909361</c:v>
                </c:pt>
                <c:pt idx="62">
                  <c:v>0.87674229357815492</c:v>
                </c:pt>
                <c:pt idx="63">
                  <c:v>0.84523652348139888</c:v>
                </c:pt>
                <c:pt idx="64">
                  <c:v>0.81347328615160075</c:v>
                </c:pt>
                <c:pt idx="65">
                  <c:v>0.78146225697854743</c:v>
                </c:pt>
                <c:pt idx="66">
                  <c:v>0.74921318683182436</c:v>
                </c:pt>
                <c:pt idx="67">
                  <c:v>0.71673589909060031</c:v>
                </c:pt>
                <c:pt idx="68">
                  <c:v>0.68404028665133765</c:v>
                </c:pt>
                <c:pt idx="69">
                  <c:v>0.65113630891431351</c:v>
                </c:pt>
                <c:pt idx="70">
                  <c:v>0.6180339887498949</c:v>
                </c:pt>
                <c:pt idx="71">
                  <c:v>0.58474340944547354</c:v>
                </c:pt>
                <c:pt idx="72">
                  <c:v>0.55127471163399833</c:v>
                </c:pt>
                <c:pt idx="73">
                  <c:v>0.51763809020504148</c:v>
                </c:pt>
                <c:pt idx="74">
                  <c:v>0.48384379119933535</c:v>
                </c:pt>
                <c:pt idx="75">
                  <c:v>0.44990210868773028</c:v>
                </c:pt>
                <c:pt idx="76">
                  <c:v>0.41582338163551846</c:v>
                </c:pt>
                <c:pt idx="77">
                  <c:v>0.38161799075308983</c:v>
                </c:pt>
                <c:pt idx="78">
                  <c:v>0.34729635533386083</c:v>
                </c:pt>
                <c:pt idx="79">
                  <c:v>0.31286893008046185</c:v>
                </c:pt>
                <c:pt idx="80">
                  <c:v>0.27834620192013093</c:v>
                </c:pt>
                <c:pt idx="81">
                  <c:v>0.24373868681029498</c:v>
                </c:pt>
                <c:pt idx="82">
                  <c:v>0.20905692653530691</c:v>
                </c:pt>
                <c:pt idx="83">
                  <c:v>0.17431148549531672</c:v>
                </c:pt>
                <c:pt idx="84">
                  <c:v>0.13951294748825047</c:v>
                </c:pt>
                <c:pt idx="85">
                  <c:v>0.10467191248588793</c:v>
                </c:pt>
                <c:pt idx="86">
                  <c:v>6.979899340500216E-2</c:v>
                </c:pt>
                <c:pt idx="87">
                  <c:v>3.4904812874567197E-2</c:v>
                </c:pt>
                <c:pt idx="88">
                  <c:v>1.22514845490862E-16</c:v>
                </c:pt>
              </c:numCache>
            </c:numRef>
          </c:xVal>
          <c:yVal>
            <c:numRef>
              <c:f>Chart!$I$6:$I$94</c:f>
              <c:numCache>
                <c:formatCode>General</c:formatCode>
                <c:ptCount val="89"/>
                <c:pt idx="0">
                  <c:v>3.4904812874567023E-2</c:v>
                </c:pt>
                <c:pt idx="1">
                  <c:v>6.9798993405001938E-2</c:v>
                </c:pt>
                <c:pt idx="2">
                  <c:v>0.10467191248588766</c:v>
                </c:pt>
                <c:pt idx="3">
                  <c:v>0.1395129474882506</c:v>
                </c:pt>
                <c:pt idx="4">
                  <c:v>0.17431148549531633</c:v>
                </c:pt>
                <c:pt idx="5">
                  <c:v>0.20905692653530691</c:v>
                </c:pt>
                <c:pt idx="6">
                  <c:v>0.24373868681029495</c:v>
                </c:pt>
                <c:pt idx="7">
                  <c:v>0.27834620192013088</c:v>
                </c:pt>
                <c:pt idx="8">
                  <c:v>0.31286893008046174</c:v>
                </c:pt>
                <c:pt idx="9">
                  <c:v>0.34729635533386066</c:v>
                </c:pt>
                <c:pt idx="10">
                  <c:v>0.38161799075308961</c:v>
                </c:pt>
                <c:pt idx="11">
                  <c:v>0.41582338163551863</c:v>
                </c:pt>
                <c:pt idx="12">
                  <c:v>0.44990210868772995</c:v>
                </c:pt>
                <c:pt idx="13">
                  <c:v>0.48384379119933546</c:v>
                </c:pt>
                <c:pt idx="14">
                  <c:v>0.51763809020504148</c:v>
                </c:pt>
                <c:pt idx="15">
                  <c:v>0.55127471163399833</c:v>
                </c:pt>
                <c:pt idx="16">
                  <c:v>0.58474340944547343</c:v>
                </c:pt>
                <c:pt idx="17">
                  <c:v>0.61803398874989479</c:v>
                </c:pt>
                <c:pt idx="18">
                  <c:v>0.6511363089143134</c:v>
                </c:pt>
                <c:pt idx="19">
                  <c:v>0.68404028665133743</c:v>
                </c:pt>
                <c:pt idx="20">
                  <c:v>0.71673589909060054</c:v>
                </c:pt>
                <c:pt idx="21">
                  <c:v>0.74921318683182403</c:v>
                </c:pt>
                <c:pt idx="22">
                  <c:v>0.78146225697854743</c:v>
                </c:pt>
                <c:pt idx="23">
                  <c:v>0.81347328615160031</c:v>
                </c:pt>
                <c:pt idx="24">
                  <c:v>0.84523652348139888</c:v>
                </c:pt>
                <c:pt idx="25">
                  <c:v>0.87674229357815481</c:v>
                </c:pt>
                <c:pt idx="26">
                  <c:v>0.9079809994790935</c:v>
                </c:pt>
                <c:pt idx="27">
                  <c:v>0.93894312557178161</c:v>
                </c:pt>
                <c:pt idx="28">
                  <c:v>0.96961924049267412</c:v>
                </c:pt>
                <c:pt idx="29">
                  <c:v>0.99999999999999989</c:v>
                </c:pt>
                <c:pt idx="30">
                  <c:v>1.0300761498201083</c:v>
                </c:pt>
                <c:pt idx="31">
                  <c:v>1.0598385284664098</c:v>
                </c:pt>
                <c:pt idx="32">
                  <c:v>1.0892780700300539</c:v>
                </c:pt>
                <c:pt idx="33">
                  <c:v>1.1183858069414936</c:v>
                </c:pt>
                <c:pt idx="34">
                  <c:v>1.1471528727020921</c:v>
                </c:pt>
                <c:pt idx="35">
                  <c:v>1.1755705045849463</c:v>
                </c:pt>
                <c:pt idx="36">
                  <c:v>1.2036300463040965</c:v>
                </c:pt>
                <c:pt idx="37">
                  <c:v>1.2313229506513166</c:v>
                </c:pt>
                <c:pt idx="38">
                  <c:v>1.258640782099675</c:v>
                </c:pt>
                <c:pt idx="39">
                  <c:v>1.2855752193730785</c:v>
                </c:pt>
                <c:pt idx="40">
                  <c:v>1.3121180579810146</c:v>
                </c:pt>
                <c:pt idx="41">
                  <c:v>1.3382612127177165</c:v>
                </c:pt>
                <c:pt idx="42">
                  <c:v>1.363996720124997</c:v>
                </c:pt>
                <c:pt idx="43">
                  <c:v>1.3893167409179945</c:v>
                </c:pt>
                <c:pt idx="44">
                  <c:v>1.4142135623730949</c:v>
                </c:pt>
                <c:pt idx="45">
                  <c:v>1.4386796006773022</c:v>
                </c:pt>
                <c:pt idx="46">
                  <c:v>1.4862896509547883</c:v>
                </c:pt>
                <c:pt idx="47">
                  <c:v>1.5094191604455438</c:v>
                </c:pt>
                <c:pt idx="48">
                  <c:v>1.532088886237956</c:v>
                </c:pt>
                <c:pt idx="49">
                  <c:v>1.5542919229139416</c:v>
                </c:pt>
                <c:pt idx="50">
                  <c:v>1.5760215072134438</c:v>
                </c:pt>
                <c:pt idx="51">
                  <c:v>1.5972710200945857</c:v>
                </c:pt>
                <c:pt idx="52">
                  <c:v>1.6180339887498949</c:v>
                </c:pt>
                <c:pt idx="53">
                  <c:v>1.6383040885779836</c:v>
                </c:pt>
                <c:pt idx="54">
                  <c:v>1.6580751451100835</c:v>
                </c:pt>
                <c:pt idx="55">
                  <c:v>1.6773411358908479</c:v>
                </c:pt>
                <c:pt idx="56">
                  <c:v>1.6960961923128519</c:v>
                </c:pt>
                <c:pt idx="57">
                  <c:v>1.7143346014042244</c:v>
                </c:pt>
                <c:pt idx="58">
                  <c:v>1.7320508075688772</c:v>
                </c:pt>
                <c:pt idx="59">
                  <c:v>1.7492394142787915</c:v>
                </c:pt>
                <c:pt idx="60">
                  <c:v>1.7658951857178538</c:v>
                </c:pt>
                <c:pt idx="61">
                  <c:v>1.7820130483767356</c:v>
                </c:pt>
                <c:pt idx="62">
                  <c:v>1.7975880925983341</c:v>
                </c:pt>
                <c:pt idx="63">
                  <c:v>1.8126155740732999</c:v>
                </c:pt>
                <c:pt idx="64">
                  <c:v>1.8270909152852017</c:v>
                </c:pt>
                <c:pt idx="65">
                  <c:v>1.8410097069048807</c:v>
                </c:pt>
                <c:pt idx="66">
                  <c:v>1.8543677091335746</c:v>
                </c:pt>
                <c:pt idx="67">
                  <c:v>1.8671608529944035</c:v>
                </c:pt>
                <c:pt idx="68">
                  <c:v>1.8793852415718166</c:v>
                </c:pt>
                <c:pt idx="69">
                  <c:v>1.8910371511986335</c:v>
                </c:pt>
                <c:pt idx="70">
                  <c:v>1.9021130325903071</c:v>
                </c:pt>
                <c:pt idx="71">
                  <c:v>1.9126095119260709</c:v>
                </c:pt>
                <c:pt idx="72">
                  <c:v>1.9225233918766378</c:v>
                </c:pt>
                <c:pt idx="73">
                  <c:v>1.9318516525781366</c:v>
                </c:pt>
                <c:pt idx="74">
                  <c:v>1.9405914525519929</c:v>
                </c:pt>
                <c:pt idx="75">
                  <c:v>1.9487401295704705</c:v>
                </c:pt>
                <c:pt idx="76">
                  <c:v>1.9562952014676114</c:v>
                </c:pt>
                <c:pt idx="77">
                  <c:v>1.963254366895328</c:v>
                </c:pt>
                <c:pt idx="78">
                  <c:v>1.969615506024416</c:v>
                </c:pt>
                <c:pt idx="79">
                  <c:v>1.9753766811902755</c:v>
                </c:pt>
                <c:pt idx="80">
                  <c:v>1.9805361374831407</c:v>
                </c:pt>
                <c:pt idx="81">
                  <c:v>1.985092303282644</c:v>
                </c:pt>
                <c:pt idx="82">
                  <c:v>1.9890437907365466</c:v>
                </c:pt>
                <c:pt idx="83">
                  <c:v>1.9923893961834911</c:v>
                </c:pt>
                <c:pt idx="84">
                  <c:v>1.9951281005196484</c:v>
                </c:pt>
                <c:pt idx="85">
                  <c:v>1.9972590695091477</c:v>
                </c:pt>
                <c:pt idx="86">
                  <c:v>1.9987816540381915</c:v>
                </c:pt>
                <c:pt idx="87">
                  <c:v>1.9996953903127825</c:v>
                </c:pt>
                <c:pt idx="8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9E-43C3-A114-4BCB1C25B4B8}"/>
            </c:ext>
          </c:extLst>
        </c:ser>
        <c:ser>
          <c:idx val="3"/>
          <c:order val="2"/>
          <c:tx>
            <c:strRef>
              <c:f>Chart!$J$4</c:f>
              <c:strCache>
                <c:ptCount val="1"/>
                <c:pt idx="0">
                  <c:v>2021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Chart!$J$6:$J$94</c:f>
              <c:numCache>
                <c:formatCode>General</c:formatCode>
                <c:ptCount val="89"/>
                <c:pt idx="0">
                  <c:v>0.99984769515639127</c:v>
                </c:pt>
                <c:pt idx="1">
                  <c:v>0.99939082701909576</c:v>
                </c:pt>
                <c:pt idx="2">
                  <c:v>0.99862953475457383</c:v>
                </c:pt>
                <c:pt idx="3">
                  <c:v>0.9975640502598242</c:v>
                </c:pt>
                <c:pt idx="4">
                  <c:v>0.99619469809174555</c:v>
                </c:pt>
                <c:pt idx="5">
                  <c:v>0.99452189536827329</c:v>
                </c:pt>
                <c:pt idx="6">
                  <c:v>0.99254615164132198</c:v>
                </c:pt>
                <c:pt idx="7">
                  <c:v>0.99026806874157036</c:v>
                </c:pt>
                <c:pt idx="8">
                  <c:v>0.98768834059513777</c:v>
                </c:pt>
                <c:pt idx="9">
                  <c:v>0.98480775301220802</c:v>
                </c:pt>
                <c:pt idx="10">
                  <c:v>0.98162718344766398</c:v>
                </c:pt>
                <c:pt idx="11">
                  <c:v>0.97814760073380569</c:v>
                </c:pt>
                <c:pt idx="12">
                  <c:v>0.97437006478523525</c:v>
                </c:pt>
                <c:pt idx="13">
                  <c:v>0.97029572627599647</c:v>
                </c:pt>
                <c:pt idx="14">
                  <c:v>0.96592582628906831</c:v>
                </c:pt>
                <c:pt idx="15">
                  <c:v>0.96126169593831889</c:v>
                </c:pt>
                <c:pt idx="16">
                  <c:v>0.95630475596303555</c:v>
                </c:pt>
                <c:pt idx="17">
                  <c:v>0.95105651629515353</c:v>
                </c:pt>
                <c:pt idx="18">
                  <c:v>0.94551857559931685</c:v>
                </c:pt>
                <c:pt idx="19">
                  <c:v>0.93969262078590843</c:v>
                </c:pt>
                <c:pt idx="20">
                  <c:v>0.93358042649720174</c:v>
                </c:pt>
                <c:pt idx="21">
                  <c:v>0.92718385456678742</c:v>
                </c:pt>
                <c:pt idx="22">
                  <c:v>0.92050485345244037</c:v>
                </c:pt>
                <c:pt idx="23">
                  <c:v>0.91354545764260087</c:v>
                </c:pt>
                <c:pt idx="24">
                  <c:v>0.90630778703664994</c:v>
                </c:pt>
                <c:pt idx="25">
                  <c:v>0.89879404629916704</c:v>
                </c:pt>
                <c:pt idx="26">
                  <c:v>0.8910065241883679</c:v>
                </c:pt>
                <c:pt idx="27">
                  <c:v>0.88294759285892699</c:v>
                </c:pt>
                <c:pt idx="28">
                  <c:v>0.87461970713939574</c:v>
                </c:pt>
                <c:pt idx="29">
                  <c:v>0.86602540378443871</c:v>
                </c:pt>
                <c:pt idx="30">
                  <c:v>0.85716730070211233</c:v>
                </c:pt>
                <c:pt idx="31">
                  <c:v>0.84804809615642596</c:v>
                </c:pt>
                <c:pt idx="32">
                  <c:v>0.83867056794542405</c:v>
                </c:pt>
                <c:pt idx="33">
                  <c:v>0.82903757255504174</c:v>
                </c:pt>
                <c:pt idx="34">
                  <c:v>0.8191520442889918</c:v>
                </c:pt>
                <c:pt idx="35">
                  <c:v>0.80901699437494745</c:v>
                </c:pt>
                <c:pt idx="36">
                  <c:v>0.79863551004729283</c:v>
                </c:pt>
                <c:pt idx="37">
                  <c:v>0.7880107536067219</c:v>
                </c:pt>
                <c:pt idx="38">
                  <c:v>0.7771459614569709</c:v>
                </c:pt>
                <c:pt idx="39">
                  <c:v>0.76604444311897801</c:v>
                </c:pt>
                <c:pt idx="40">
                  <c:v>0.75470958022277201</c:v>
                </c:pt>
                <c:pt idx="41">
                  <c:v>0.74314482547739424</c:v>
                </c:pt>
                <c:pt idx="42">
                  <c:v>0.73135370161917046</c:v>
                </c:pt>
                <c:pt idx="43">
                  <c:v>0.71933980033865119</c:v>
                </c:pt>
                <c:pt idx="44">
                  <c:v>0.70710678118654757</c:v>
                </c:pt>
                <c:pt idx="45">
                  <c:v>0.69465837045899737</c:v>
                </c:pt>
                <c:pt idx="46">
                  <c:v>0.66913060635885824</c:v>
                </c:pt>
                <c:pt idx="47">
                  <c:v>0.65605902899050739</c:v>
                </c:pt>
                <c:pt idx="48">
                  <c:v>0.64278760968653936</c:v>
                </c:pt>
                <c:pt idx="49">
                  <c:v>0.6293203910498375</c:v>
                </c:pt>
                <c:pt idx="50">
                  <c:v>0.61566147532565829</c:v>
                </c:pt>
                <c:pt idx="51">
                  <c:v>0.60181502315204838</c:v>
                </c:pt>
                <c:pt idx="52">
                  <c:v>0.58778525229247314</c:v>
                </c:pt>
                <c:pt idx="53">
                  <c:v>0.57357643635104616</c:v>
                </c:pt>
                <c:pt idx="54">
                  <c:v>0.55919290347074679</c:v>
                </c:pt>
                <c:pt idx="55">
                  <c:v>0.5446390350150272</c:v>
                </c:pt>
                <c:pt idx="56">
                  <c:v>0.5299192642332049</c:v>
                </c:pt>
                <c:pt idx="57">
                  <c:v>0.51503807491005438</c:v>
                </c:pt>
                <c:pt idx="58">
                  <c:v>0.50000000000000011</c:v>
                </c:pt>
                <c:pt idx="59">
                  <c:v>0.48480962024633711</c:v>
                </c:pt>
                <c:pt idx="60">
                  <c:v>0.46947156278589086</c:v>
                </c:pt>
                <c:pt idx="61">
                  <c:v>0.4539904997395468</c:v>
                </c:pt>
                <c:pt idx="62">
                  <c:v>0.43837114678907746</c:v>
                </c:pt>
                <c:pt idx="63">
                  <c:v>0.42261826174069944</c:v>
                </c:pt>
                <c:pt idx="64">
                  <c:v>0.40673664307580037</c:v>
                </c:pt>
                <c:pt idx="65">
                  <c:v>0.39073112848927372</c:v>
                </c:pt>
                <c:pt idx="66">
                  <c:v>0.37460659341591218</c:v>
                </c:pt>
                <c:pt idx="67">
                  <c:v>0.35836794954530016</c:v>
                </c:pt>
                <c:pt idx="68">
                  <c:v>0.34202014332566882</c:v>
                </c:pt>
                <c:pt idx="69">
                  <c:v>0.32556815445715676</c:v>
                </c:pt>
                <c:pt idx="70">
                  <c:v>0.30901699437494745</c:v>
                </c:pt>
                <c:pt idx="71">
                  <c:v>0.29237170472273677</c:v>
                </c:pt>
                <c:pt idx="72">
                  <c:v>0.27563735581699916</c:v>
                </c:pt>
                <c:pt idx="73">
                  <c:v>0.25881904510252074</c:v>
                </c:pt>
                <c:pt idx="74">
                  <c:v>0.24192189559966767</c:v>
                </c:pt>
                <c:pt idx="75">
                  <c:v>0.22495105434386514</c:v>
                </c:pt>
                <c:pt idx="76">
                  <c:v>0.20791169081775923</c:v>
                </c:pt>
                <c:pt idx="77">
                  <c:v>0.19080899537654492</c:v>
                </c:pt>
                <c:pt idx="78">
                  <c:v>0.17364817766693041</c:v>
                </c:pt>
                <c:pt idx="79">
                  <c:v>0.15643446504023092</c:v>
                </c:pt>
                <c:pt idx="80">
                  <c:v>0.13917310096006547</c:v>
                </c:pt>
                <c:pt idx="81">
                  <c:v>0.12186934340514749</c:v>
                </c:pt>
                <c:pt idx="82">
                  <c:v>0.10452846326765346</c:v>
                </c:pt>
                <c:pt idx="83">
                  <c:v>8.715574274765836E-2</c:v>
                </c:pt>
                <c:pt idx="84">
                  <c:v>6.9756473744125233E-2</c:v>
                </c:pt>
                <c:pt idx="85">
                  <c:v>5.2335956242943966E-2</c:v>
                </c:pt>
                <c:pt idx="86">
                  <c:v>3.489949670250108E-2</c:v>
                </c:pt>
                <c:pt idx="87">
                  <c:v>1.7452406437283598E-2</c:v>
                </c:pt>
                <c:pt idx="88">
                  <c:v>6.1257422745431001E-17</c:v>
                </c:pt>
              </c:numCache>
            </c:numRef>
          </c:xVal>
          <c:yVal>
            <c:numRef>
              <c:f>Chart!$K$6:$K$94</c:f>
              <c:numCache>
                <c:formatCode>General</c:formatCode>
                <c:ptCount val="89"/>
                <c:pt idx="0">
                  <c:v>1.7452406437283512E-2</c:v>
                </c:pt>
                <c:pt idx="1">
                  <c:v>3.4899496702500969E-2</c:v>
                </c:pt>
                <c:pt idx="2">
                  <c:v>5.2335956242943828E-2</c:v>
                </c:pt>
                <c:pt idx="3">
                  <c:v>6.9756473744125302E-2</c:v>
                </c:pt>
                <c:pt idx="4">
                  <c:v>8.7155742747658166E-2</c:v>
                </c:pt>
                <c:pt idx="5">
                  <c:v>0.10452846326765346</c:v>
                </c:pt>
                <c:pt idx="6">
                  <c:v>0.12186934340514748</c:v>
                </c:pt>
                <c:pt idx="7">
                  <c:v>0.13917310096006544</c:v>
                </c:pt>
                <c:pt idx="8">
                  <c:v>0.15643446504023087</c:v>
                </c:pt>
                <c:pt idx="9">
                  <c:v>0.17364817766693033</c:v>
                </c:pt>
                <c:pt idx="10">
                  <c:v>0.1908089953765448</c:v>
                </c:pt>
                <c:pt idx="11">
                  <c:v>0.20791169081775931</c:v>
                </c:pt>
                <c:pt idx="12">
                  <c:v>0.22495105434386498</c:v>
                </c:pt>
                <c:pt idx="13">
                  <c:v>0.24192189559966773</c:v>
                </c:pt>
                <c:pt idx="14">
                  <c:v>0.25881904510252074</c:v>
                </c:pt>
                <c:pt idx="15">
                  <c:v>0.27563735581699916</c:v>
                </c:pt>
                <c:pt idx="16">
                  <c:v>0.29237170472273671</c:v>
                </c:pt>
                <c:pt idx="17">
                  <c:v>0.3090169943749474</c:v>
                </c:pt>
                <c:pt idx="18">
                  <c:v>0.3255681544571567</c:v>
                </c:pt>
                <c:pt idx="19">
                  <c:v>0.34202014332566871</c:v>
                </c:pt>
                <c:pt idx="20">
                  <c:v>0.35836794954530027</c:v>
                </c:pt>
                <c:pt idx="21">
                  <c:v>0.37460659341591201</c:v>
                </c:pt>
                <c:pt idx="22">
                  <c:v>0.39073112848927372</c:v>
                </c:pt>
                <c:pt idx="23">
                  <c:v>0.40673664307580015</c:v>
                </c:pt>
                <c:pt idx="24">
                  <c:v>0.42261826174069944</c:v>
                </c:pt>
                <c:pt idx="25">
                  <c:v>0.4383711467890774</c:v>
                </c:pt>
                <c:pt idx="26">
                  <c:v>0.45399049973954675</c:v>
                </c:pt>
                <c:pt idx="27">
                  <c:v>0.46947156278589081</c:v>
                </c:pt>
                <c:pt idx="28">
                  <c:v>0.48480962024633706</c:v>
                </c:pt>
                <c:pt idx="29">
                  <c:v>0.49999999999999994</c:v>
                </c:pt>
                <c:pt idx="30">
                  <c:v>0.51503807491005416</c:v>
                </c:pt>
                <c:pt idx="31">
                  <c:v>0.5299192642332049</c:v>
                </c:pt>
                <c:pt idx="32">
                  <c:v>0.54463903501502697</c:v>
                </c:pt>
                <c:pt idx="33">
                  <c:v>0.55919290347074679</c:v>
                </c:pt>
                <c:pt idx="34">
                  <c:v>0.57357643635104605</c:v>
                </c:pt>
                <c:pt idx="35">
                  <c:v>0.58778525229247314</c:v>
                </c:pt>
                <c:pt idx="36">
                  <c:v>0.60181502315204827</c:v>
                </c:pt>
                <c:pt idx="37">
                  <c:v>0.61566147532565829</c:v>
                </c:pt>
                <c:pt idx="38">
                  <c:v>0.6293203910498375</c:v>
                </c:pt>
                <c:pt idx="39">
                  <c:v>0.64278760968653925</c:v>
                </c:pt>
                <c:pt idx="40">
                  <c:v>0.65605902899050728</c:v>
                </c:pt>
                <c:pt idx="41">
                  <c:v>0.66913060635885824</c:v>
                </c:pt>
                <c:pt idx="42">
                  <c:v>0.68199836006249848</c:v>
                </c:pt>
                <c:pt idx="43">
                  <c:v>0.69465837045899725</c:v>
                </c:pt>
                <c:pt idx="44">
                  <c:v>0.70710678118654746</c:v>
                </c:pt>
                <c:pt idx="45">
                  <c:v>0.71933980033865108</c:v>
                </c:pt>
                <c:pt idx="46">
                  <c:v>0.74314482547739413</c:v>
                </c:pt>
                <c:pt idx="47">
                  <c:v>0.7547095802227719</c:v>
                </c:pt>
                <c:pt idx="48">
                  <c:v>0.76604444311897801</c:v>
                </c:pt>
                <c:pt idx="49">
                  <c:v>0.77714596145697079</c:v>
                </c:pt>
                <c:pt idx="50">
                  <c:v>0.7880107536067219</c:v>
                </c:pt>
                <c:pt idx="51">
                  <c:v>0.79863551004729283</c:v>
                </c:pt>
                <c:pt idx="52">
                  <c:v>0.80901699437494745</c:v>
                </c:pt>
                <c:pt idx="53">
                  <c:v>0.8191520442889918</c:v>
                </c:pt>
                <c:pt idx="54">
                  <c:v>0.82903757255504174</c:v>
                </c:pt>
                <c:pt idx="55">
                  <c:v>0.83867056794542394</c:v>
                </c:pt>
                <c:pt idx="56">
                  <c:v>0.84804809615642596</c:v>
                </c:pt>
                <c:pt idx="57">
                  <c:v>0.85716730070211222</c:v>
                </c:pt>
                <c:pt idx="58">
                  <c:v>0.8660254037844386</c:v>
                </c:pt>
                <c:pt idx="59">
                  <c:v>0.87461970713939574</c:v>
                </c:pt>
                <c:pt idx="60">
                  <c:v>0.88294759285892688</c:v>
                </c:pt>
                <c:pt idx="61">
                  <c:v>0.89100652418836779</c:v>
                </c:pt>
                <c:pt idx="62">
                  <c:v>0.89879404629916704</c:v>
                </c:pt>
                <c:pt idx="63">
                  <c:v>0.90630778703664994</c:v>
                </c:pt>
                <c:pt idx="64">
                  <c:v>0.91354545764260087</c:v>
                </c:pt>
                <c:pt idx="65">
                  <c:v>0.92050485345244037</c:v>
                </c:pt>
                <c:pt idx="66">
                  <c:v>0.92718385456678731</c:v>
                </c:pt>
                <c:pt idx="67">
                  <c:v>0.93358042649720174</c:v>
                </c:pt>
                <c:pt idx="68">
                  <c:v>0.93969262078590832</c:v>
                </c:pt>
                <c:pt idx="69">
                  <c:v>0.94551857559931674</c:v>
                </c:pt>
                <c:pt idx="70">
                  <c:v>0.95105651629515353</c:v>
                </c:pt>
                <c:pt idx="71">
                  <c:v>0.95630475596303544</c:v>
                </c:pt>
                <c:pt idx="72">
                  <c:v>0.96126169593831889</c:v>
                </c:pt>
                <c:pt idx="73">
                  <c:v>0.96592582628906831</c:v>
                </c:pt>
                <c:pt idx="74">
                  <c:v>0.97029572627599647</c:v>
                </c:pt>
                <c:pt idx="75">
                  <c:v>0.97437006478523525</c:v>
                </c:pt>
                <c:pt idx="76">
                  <c:v>0.97814760073380569</c:v>
                </c:pt>
                <c:pt idx="77">
                  <c:v>0.98162718344766398</c:v>
                </c:pt>
                <c:pt idx="78">
                  <c:v>0.98480775301220802</c:v>
                </c:pt>
                <c:pt idx="79">
                  <c:v>0.98768834059513777</c:v>
                </c:pt>
                <c:pt idx="80">
                  <c:v>0.99026806874157036</c:v>
                </c:pt>
                <c:pt idx="81">
                  <c:v>0.99254615164132198</c:v>
                </c:pt>
                <c:pt idx="82">
                  <c:v>0.99452189536827329</c:v>
                </c:pt>
                <c:pt idx="83">
                  <c:v>0.99619469809174555</c:v>
                </c:pt>
                <c:pt idx="84">
                  <c:v>0.9975640502598242</c:v>
                </c:pt>
                <c:pt idx="85">
                  <c:v>0.99862953475457383</c:v>
                </c:pt>
                <c:pt idx="86">
                  <c:v>0.99939082701909576</c:v>
                </c:pt>
                <c:pt idx="87">
                  <c:v>0.99984769515639127</c:v>
                </c:pt>
                <c:pt idx="8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9E-43C3-A114-4BCB1C25B4B8}"/>
            </c:ext>
          </c:extLst>
        </c:ser>
        <c:ser>
          <c:idx val="0"/>
          <c:order val="3"/>
          <c:tx>
            <c:v>Line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19E-43C3-A114-4BCB1C25B4B8}"/>
              </c:ext>
            </c:extLst>
          </c:dPt>
          <c:xVal>
            <c:numRef>
              <c:f>Chart!$W$22:$W$23</c:f>
              <c:numCache>
                <c:formatCode>General</c:formatCode>
                <c:ptCount val="2"/>
                <c:pt idx="0">
                  <c:v>9.659258262890684E-2</c:v>
                </c:pt>
                <c:pt idx="1">
                  <c:v>3.0909626441250189</c:v>
                </c:pt>
              </c:numCache>
            </c:numRef>
          </c:xVal>
          <c:yVal>
            <c:numRef>
              <c:f>Chart!$X$22:$X$23</c:f>
              <c:numCache>
                <c:formatCode>General</c:formatCode>
                <c:ptCount val="2"/>
                <c:pt idx="0">
                  <c:v>2.5881904510252074E-2</c:v>
                </c:pt>
                <c:pt idx="1">
                  <c:v>0.82822094432806637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9E-43C3-A114-4BCB1C25B4B8}"/>
            </c:ext>
          </c:extLst>
        </c:ser>
        <c:ser>
          <c:idx val="4"/>
          <c:order val="4"/>
          <c:tx>
            <c:v>Line 2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19E-43C3-A114-4BCB1C25B4B8}"/>
              </c:ext>
            </c:extLst>
          </c:dPt>
          <c:xVal>
            <c:numRef>
              <c:f>Chart!$W$24:$W$25</c:f>
              <c:numCache>
                <c:formatCode>General</c:formatCode>
                <c:ptCount val="2"/>
                <c:pt idx="0">
                  <c:v>7.0710678118654766E-2</c:v>
                </c:pt>
                <c:pt idx="1">
                  <c:v>2.2627416997969525</c:v>
                </c:pt>
              </c:numCache>
            </c:numRef>
          </c:xVal>
          <c:yVal>
            <c:numRef>
              <c:f>Chart!$X$24:$X$25</c:f>
              <c:numCache>
                <c:formatCode>General</c:formatCode>
                <c:ptCount val="2"/>
                <c:pt idx="0">
                  <c:v>7.0710678118654752E-2</c:v>
                </c:pt>
                <c:pt idx="1">
                  <c:v>2.2627416997969521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9E-43C3-A114-4BCB1C25B4B8}"/>
            </c:ext>
          </c:extLst>
        </c:ser>
        <c:ser>
          <c:idx val="5"/>
          <c:order val="5"/>
          <c:tx>
            <c:v>Line 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219E-43C3-A114-4BCB1C25B4B8}"/>
              </c:ext>
            </c:extLst>
          </c:dPt>
          <c:xVal>
            <c:numRef>
              <c:f>Chart!$W$26:$W$27</c:f>
              <c:numCache>
                <c:formatCode>General</c:formatCode>
                <c:ptCount val="2"/>
                <c:pt idx="0">
                  <c:v>4.2261826174069948E-2</c:v>
                </c:pt>
                <c:pt idx="1">
                  <c:v>1.3523784375702383</c:v>
                </c:pt>
              </c:numCache>
            </c:numRef>
          </c:xVal>
          <c:yVal>
            <c:numRef>
              <c:f>Chart!$X$26:$X$27</c:f>
              <c:numCache>
                <c:formatCode>General</c:formatCode>
                <c:ptCount val="2"/>
                <c:pt idx="0">
                  <c:v>9.0630778703664996E-2</c:v>
                </c:pt>
                <c:pt idx="1">
                  <c:v>2.9001849185172799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9E-43C3-A114-4BCB1C25B4B8}"/>
            </c:ext>
          </c:extLst>
        </c:ser>
        <c:ser>
          <c:idx val="6"/>
          <c:order val="6"/>
          <c:tx>
            <c:strRef>
              <c:f>Chart!$AB$31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2">
                      <a:alpha val="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219E-43C3-A114-4BCB1C25B4B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45AD1E8-46DE-4453-A10C-BF3AE23993F8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9E-43C3-A114-4BCB1C25B4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79DD72-2A1B-41DF-9766-83BEB04038DA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9E-43C3-A114-4BCB1C25B4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8AB7AF-8C51-4F24-BC32-1CA4085FB0C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9E-43C3-A114-4BCB1C25B4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FFCA14-A008-4C72-9088-8C97A2E5422E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9E-43C3-A114-4BCB1C25B4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B27259-FE9F-4D2A-93EF-E4567C801775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19E-43C3-A114-4BCB1C25B4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304118-3E5F-49BA-917F-E803FFEABE2A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9E-43C3-A114-4BCB1C25B4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AF96A0-C67E-44B3-86F4-2F166E5F0189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9E-43C3-A114-4BCB1C25B4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19E-43C3-A114-4BCB1C25B4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19E-43C3-A114-4BCB1C25B4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Chart!$AI$31:$AI$40</c:f>
              <c:numCache>
                <c:formatCode>General</c:formatCode>
                <c:ptCount val="10"/>
                <c:pt idx="0">
                  <c:v>2.478612153434526</c:v>
                </c:pt>
                <c:pt idx="1">
                  <c:v>2.2838636441065021</c:v>
                </c:pt>
                <c:pt idx="2">
                  <c:v>1.6401475724762684</c:v>
                </c:pt>
                <c:pt idx="3">
                  <c:v>0.95670858091272459</c:v>
                </c:pt>
                <c:pt idx="4">
                  <c:v>1.0361946152759614</c:v>
                </c:pt>
                <c:pt idx="5">
                  <c:v>0.64818121608766854</c:v>
                </c:pt>
                <c:pt idx="6">
                  <c:v>1.1785113019775793</c:v>
                </c:pt>
              </c:numCache>
            </c:numRef>
          </c:xVal>
          <c:yVal>
            <c:numRef>
              <c:f>Chart!$AJ$31:$AJ$40</c:f>
              <c:numCache>
                <c:formatCode>General</c:formatCode>
                <c:ptCount val="10"/>
                <c:pt idx="0">
                  <c:v>0.32631548055012893</c:v>
                </c:pt>
                <c:pt idx="1">
                  <c:v>1.0168416076895004</c:v>
                </c:pt>
                <c:pt idx="2">
                  <c:v>1.8867739505569299</c:v>
                </c:pt>
                <c:pt idx="3">
                  <c:v>2.309698831278217</c:v>
                </c:pt>
                <c:pt idx="4">
                  <c:v>0.83909385473311682</c:v>
                </c:pt>
                <c:pt idx="5">
                  <c:v>0.64818121608766843</c:v>
                </c:pt>
                <c:pt idx="6">
                  <c:v>1.1785113019775793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Chart!$AB$31:$AB$37</c15:f>
                <c15:dlblRangeCache>
                  <c:ptCount val="7"/>
                  <c:pt idx="0">
                    <c:v>X</c:v>
                  </c:pt>
                  <c:pt idx="1">
                    <c:v>Y </c:v>
                  </c:pt>
                  <c:pt idx="2">
                    <c:v>Z</c:v>
                  </c:pt>
                  <c:pt idx="3">
                    <c:v>YY</c:v>
                  </c:pt>
                  <c:pt idx="4">
                    <c:v>Test</c:v>
                  </c:pt>
                  <c:pt idx="5">
                    <c:v>Test2</c:v>
                  </c:pt>
                  <c:pt idx="6">
                    <c:v>Test 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19E-43C3-A114-4BCB1C25B4B8}"/>
            </c:ext>
          </c:extLst>
        </c:ser>
        <c:ser>
          <c:idx val="7"/>
          <c:order val="7"/>
          <c:tx>
            <c:strRef>
              <c:f>Chart!$F$4:$K$4</c:f>
              <c:strCache>
                <c:ptCount val="1"/>
                <c:pt idx="0">
                  <c:v>2019 2020 2021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442CCA-7D4A-4C76-9BFC-A2DE196C9283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19E-43C3-A114-4BCB1C25B4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8B8B80-8596-44FF-88EE-DF9D063BA818}" type="CELLRANGE">
                      <a:rPr lang="da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19E-43C3-A114-4BCB1C25B4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48AF38-48D1-4B6F-A436-38FB78FA3665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9E-43C3-A114-4BCB1C25B4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45F44C-782D-45AB-8FCB-EFB853795F5E}" type="CELLRANGE">
                      <a:rPr lang="da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219E-43C3-A114-4BCB1C25B4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C8C3AF-9414-4CAD-AD0C-BB86742623C9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9E-43C3-A114-4BCB1C25B4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Chart!$F$5:$K$5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xVal>
          <c:yVal>
            <c:numRef>
              <c:f>Chart!$F$3:$K$3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Chart!$F$2:$J$2</c15:f>
                <c15:dlblRangeCache>
                  <c:ptCount val="5"/>
                  <c:pt idx="0">
                    <c:v>2019
</c:v>
                  </c:pt>
                  <c:pt idx="2">
                    <c:v>2020
</c:v>
                  </c:pt>
                  <c:pt idx="4">
                    <c:v>2021
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219E-43C3-A114-4BCB1C25B4B8}"/>
            </c:ext>
          </c:extLst>
        </c:ser>
        <c:ser>
          <c:idx val="8"/>
          <c:order val="8"/>
          <c:tx>
            <c:strRef>
              <c:f>Chart!$AB$48</c:f>
              <c:strCache>
                <c:ptCount val="1"/>
                <c:pt idx="0">
                  <c:v>Category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DEC12B-8988-44ED-A003-ADF63AB3968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8023896C-2026-45F0-B895-B4204323ABA7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9E-43C3-A114-4BCB1C25B4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9CCA11-EDE0-46D6-A11B-9A1D9611C0B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AAE8EAC7-0F87-490A-B77B-1EAF23CD4BD5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9E-43C3-A114-4BCB1C25B4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40832E-79AB-4034-8F2B-FBD6E73CECDB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C7A83C80-3A83-4EBE-9C73-5FDB7464870A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9E-43C3-A114-4BCB1C25B4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2586F-3D52-4524-9329-43803918CCE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B104A535-F1B2-40A0-94A7-5EBFCD91F0D5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Chart!$AG$49:$AG$52</c:f>
              <c:numCache>
                <c:formatCode>General</c:formatCode>
                <c:ptCount val="4"/>
                <c:pt idx="0">
                  <c:v>3.6683459870830988</c:v>
                </c:pt>
                <c:pt idx="1">
                  <c:v>3.2042939940024233</c:v>
                </c:pt>
                <c:pt idx="2">
                  <c:v>2.328485446884399</c:v>
                </c:pt>
                <c:pt idx="3">
                  <c:v>1.0524702982649556</c:v>
                </c:pt>
              </c:numCache>
            </c:numRef>
          </c:xVal>
          <c:yVal>
            <c:numRef>
              <c:f>Chart!$AH$49:$AH$52</c:f>
              <c:numCache>
                <c:formatCode>General</c:formatCode>
                <c:ptCount val="4"/>
                <c:pt idx="0">
                  <c:v>0.48294691121419087</c:v>
                </c:pt>
                <c:pt idx="1">
                  <c:v>1.8499999999999999</c:v>
                </c:pt>
                <c:pt idx="2">
                  <c:v>2.8754400573907919</c:v>
                </c:pt>
                <c:pt idx="3">
                  <c:v>3.3380093276187943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Chart!$AB$49:$AB$52</c15:f>
                <c15:dlblRangeCache>
                  <c:ptCount val="4"/>
                  <c:pt idx="0">
                    <c:v>1. Advanced Analytics</c:v>
                  </c:pt>
                  <c:pt idx="1">
                    <c:v>2. Standardize, simplify and enhance BI content</c:v>
                  </c:pt>
                  <c:pt idx="2">
                    <c:v>3. Simplify processes&amp;admin burden reduction</c:v>
                  </c:pt>
                  <c:pt idx="3">
                    <c:v>4. System maintanance execution and optimisation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219E-43C3-A114-4BCB1C25B4B8}"/>
            </c:ext>
          </c:extLst>
        </c:ser>
        <c:ser>
          <c:idx val="9"/>
          <c:order val="9"/>
          <c:tx>
            <c:strRef>
              <c:f>Chart!$AB$8</c:f>
              <c:strCache>
                <c:ptCount val="1"/>
                <c:pt idx="0">
                  <c:v>Base Assignment 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9636CA-4A8A-4B4E-8951-5D988636EEBC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Chart!$AC$8</c:f>
              <c:numCache>
                <c:formatCode>General</c:formatCode>
                <c:ptCount val="1"/>
                <c:pt idx="0">
                  <c:v>3.4971568265563691</c:v>
                </c:pt>
              </c:numCache>
            </c:numRef>
          </c:xVal>
          <c:yVal>
            <c:numRef>
              <c:f>Chart!$AD$8</c:f>
              <c:numCache>
                <c:formatCode>General</c:formatCode>
                <c:ptCount val="1"/>
                <c:pt idx="0">
                  <c:v>2.85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Chart!$AB$8</c15:f>
                <c15:dlblRangeCache>
                  <c:ptCount val="1"/>
                  <c:pt idx="0">
                    <c:v>Base Assignment 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4-219E-43C3-A114-4BCB1C25B4B8}"/>
            </c:ext>
          </c:extLst>
        </c:ser>
        <c:ser>
          <c:idx val="10"/>
          <c:order val="10"/>
          <c:tx>
            <c:strRef>
              <c:f>Chart!$AB$9</c:f>
              <c:strCache>
                <c:ptCount val="1"/>
                <c:pt idx="0">
                  <c:v>Base Assignment 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2679C5-59EF-4454-9D7E-D188E08EC310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Chart!$AC$9</c:f>
              <c:numCache>
                <c:formatCode>General</c:formatCode>
                <c:ptCount val="1"/>
                <c:pt idx="0">
                  <c:v>3.4971568265563691</c:v>
                </c:pt>
              </c:numCache>
            </c:numRef>
          </c:xVal>
          <c:yVal>
            <c:numRef>
              <c:f>Chart!$AD$9</c:f>
              <c:numCache>
                <c:formatCode>General</c:formatCode>
                <c:ptCount val="1"/>
                <c:pt idx="0">
                  <c:v>2.89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Chart!$AB$9</c15:f>
                <c15:dlblRangeCache>
                  <c:ptCount val="1"/>
                  <c:pt idx="0">
                    <c:v>Base Assignment 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6-219E-43C3-A114-4BCB1C25B4B8}"/>
            </c:ext>
          </c:extLst>
        </c:ser>
        <c:ser>
          <c:idx val="11"/>
          <c:order val="11"/>
          <c:tx>
            <c:strRef>
              <c:f>Chart!$AB$10</c:f>
              <c:strCache>
                <c:ptCount val="1"/>
                <c:pt idx="0">
                  <c:v>Base Assignment 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Chart!$AC$10</c:f>
              <c:numCache>
                <c:formatCode>General</c:formatCode>
                <c:ptCount val="1"/>
                <c:pt idx="0">
                  <c:v>3.4971568265563691</c:v>
                </c:pt>
              </c:numCache>
            </c:numRef>
          </c:xVal>
          <c:yVal>
            <c:numRef>
              <c:f>Chart!$AD$10</c:f>
              <c:numCache>
                <c:formatCode>General</c:formatCode>
                <c:ptCount val="1"/>
                <c:pt idx="0">
                  <c:v>2.93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219E-43C3-A114-4BCB1C25B4B8}"/>
            </c:ext>
          </c:extLst>
        </c:ser>
        <c:ser>
          <c:idx val="12"/>
          <c:order val="12"/>
          <c:tx>
            <c:strRef>
              <c:f>Chart!$AB$11</c:f>
              <c:strCache>
                <c:ptCount val="1"/>
                <c:pt idx="0">
                  <c:v>Base Assignment 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Chart!$AC$11</c:f>
              <c:numCache>
                <c:formatCode>General</c:formatCode>
                <c:ptCount val="1"/>
                <c:pt idx="0">
                  <c:v>3.4971568265563691</c:v>
                </c:pt>
              </c:numCache>
            </c:numRef>
          </c:xVal>
          <c:yVal>
            <c:numRef>
              <c:f>Chart!$AD$11</c:f>
              <c:numCache>
                <c:formatCode>General</c:formatCode>
                <c:ptCount val="1"/>
                <c:pt idx="0">
                  <c:v>2.97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219E-43C3-A114-4BCB1C25B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97456"/>
        <c:axId val="326502776"/>
      </c:scatterChart>
      <c:valAx>
        <c:axId val="195197456"/>
        <c:scaling>
          <c:orientation val="maxMin"/>
          <c:max val="3.7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26502776"/>
        <c:crosses val="autoZero"/>
        <c:crossBetween val="midCat"/>
      </c:valAx>
      <c:valAx>
        <c:axId val="326502776"/>
        <c:scaling>
          <c:orientation val="maxMin"/>
          <c:max val="3.5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triangl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519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59000386571297E-4"/>
          <c:y val="2.3050344196455796E-2"/>
          <c:w val="0.97839730984701756"/>
          <c:h val="0.9722438144995007"/>
        </c:manualLayout>
      </c:layout>
      <c:scatterChart>
        <c:scatterStyle val="lineMarker"/>
        <c:varyColors val="0"/>
        <c:ser>
          <c:idx val="1"/>
          <c:order val="0"/>
          <c:tx>
            <c:strRef>
              <c:f>Chart!$F$4</c:f>
              <c:strCache>
                <c:ptCount val="1"/>
                <c:pt idx="0">
                  <c:v>2019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Chart!$F$5:$F$94</c:f>
              <c:numCache>
                <c:formatCode>General</c:formatCode>
                <c:ptCount val="90"/>
                <c:pt idx="0">
                  <c:v>3</c:v>
                </c:pt>
                <c:pt idx="1">
                  <c:v>2.999543085469174</c:v>
                </c:pt>
                <c:pt idx="2">
                  <c:v>2.9981724810572872</c:v>
                </c:pt>
                <c:pt idx="3">
                  <c:v>2.9958886042637216</c:v>
                </c:pt>
                <c:pt idx="4">
                  <c:v>2.9926921507794724</c:v>
                </c:pt>
                <c:pt idx="5">
                  <c:v>2.9885840942752369</c:v>
                </c:pt>
                <c:pt idx="6">
                  <c:v>2.9835656861048196</c:v>
                </c:pt>
                <c:pt idx="7">
                  <c:v>2.9776384549239658</c:v>
                </c:pt>
                <c:pt idx="8">
                  <c:v>2.9708042062247113</c:v>
                </c:pt>
                <c:pt idx="9">
                  <c:v>2.9630650217854133</c:v>
                </c:pt>
                <c:pt idx="10">
                  <c:v>2.9544232590366239</c:v>
                </c:pt>
                <c:pt idx="11">
                  <c:v>2.9448815503429921</c:v>
                </c:pt>
                <c:pt idx="12">
                  <c:v>2.9344428022014171</c:v>
                </c:pt>
                <c:pt idx="13">
                  <c:v>2.9231101943557056</c:v>
                </c:pt>
                <c:pt idx="14">
                  <c:v>2.9108871788279895</c:v>
                </c:pt>
                <c:pt idx="15">
                  <c:v>2.897777478867205</c:v>
                </c:pt>
                <c:pt idx="16">
                  <c:v>2.8837850878149567</c:v>
                </c:pt>
                <c:pt idx="17">
                  <c:v>2.8689142678891066</c:v>
                </c:pt>
                <c:pt idx="18">
                  <c:v>2.8531695488854605</c:v>
                </c:pt>
                <c:pt idx="19">
                  <c:v>2.8365557267979504</c:v>
                </c:pt>
                <c:pt idx="20">
                  <c:v>2.8190778623577253</c:v>
                </c:pt>
                <c:pt idx="21">
                  <c:v>2.8007412794916053</c:v>
                </c:pt>
                <c:pt idx="22">
                  <c:v>2.7815515637003623</c:v>
                </c:pt>
                <c:pt idx="23">
                  <c:v>2.761514560357321</c:v>
                </c:pt>
                <c:pt idx="24">
                  <c:v>2.7406363729278027</c:v>
                </c:pt>
                <c:pt idx="25">
                  <c:v>2.7189233611099497</c:v>
                </c:pt>
                <c:pt idx="26">
                  <c:v>2.6963821388975013</c:v>
                </c:pt>
                <c:pt idx="27">
                  <c:v>2.6730195725651038</c:v>
                </c:pt>
                <c:pt idx="28">
                  <c:v>2.648842778576781</c:v>
                </c:pt>
                <c:pt idx="29">
                  <c:v>2.623859121418187</c:v>
                </c:pt>
                <c:pt idx="30">
                  <c:v>2.598076211353316</c:v>
                </c:pt>
                <c:pt idx="31">
                  <c:v>2.5715019021063368</c:v>
                </c:pt>
                <c:pt idx="32">
                  <c:v>2.544144288469278</c:v>
                </c:pt>
                <c:pt idx="33">
                  <c:v>2.5160117038362722</c:v>
                </c:pt>
                <c:pt idx="34">
                  <c:v>2.4871127176651253</c:v>
                </c:pt>
                <c:pt idx="35">
                  <c:v>2.4574561328669753</c:v>
                </c:pt>
                <c:pt idx="36">
                  <c:v>2.4270509831248424</c:v>
                </c:pt>
                <c:pt idx="37">
                  <c:v>2.3959065301418785</c:v>
                </c:pt>
                <c:pt idx="38">
                  <c:v>2.3640322608201658</c:v>
                </c:pt>
                <c:pt idx="39">
                  <c:v>2.3314378843709127</c:v>
                </c:pt>
                <c:pt idx="40">
                  <c:v>2.2981333293569342</c:v>
                </c:pt>
                <c:pt idx="41">
                  <c:v>2.2641287406683159</c:v>
                </c:pt>
                <c:pt idx="42">
                  <c:v>2.229434476432183</c:v>
                </c:pt>
                <c:pt idx="43">
                  <c:v>2.1940611048575116</c:v>
                </c:pt>
                <c:pt idx="44">
                  <c:v>2.1580194010159537</c:v>
                </c:pt>
                <c:pt idx="45">
                  <c:v>2.1213203435596428</c:v>
                </c:pt>
                <c:pt idx="46">
                  <c:v>2.0839751113769922</c:v>
                </c:pt>
                <c:pt idx="47">
                  <c:v>2.0073918190765747</c:v>
                </c:pt>
                <c:pt idx="48">
                  <c:v>1.9681770869715223</c:v>
                </c:pt>
                <c:pt idx="49">
                  <c:v>1.9283628290596182</c:v>
                </c:pt>
                <c:pt idx="50">
                  <c:v>1.8879611731495125</c:v>
                </c:pt>
                <c:pt idx="51">
                  <c:v>1.846984425976975</c:v>
                </c:pt>
                <c:pt idx="52">
                  <c:v>1.805445069456145</c:v>
                </c:pt>
                <c:pt idx="53">
                  <c:v>1.7633557568774194</c:v>
                </c:pt>
                <c:pt idx="54">
                  <c:v>1.7207293090531386</c:v>
                </c:pt>
                <c:pt idx="55">
                  <c:v>1.6775787104122404</c:v>
                </c:pt>
                <c:pt idx="56">
                  <c:v>1.6339171050450816</c:v>
                </c:pt>
                <c:pt idx="57">
                  <c:v>1.5897577926996147</c:v>
                </c:pt>
                <c:pt idx="58">
                  <c:v>1.5451142247301632</c:v>
                </c:pt>
                <c:pt idx="59">
                  <c:v>1.5000000000000004</c:v>
                </c:pt>
                <c:pt idx="60">
                  <c:v>1.4544288607390112</c:v>
                </c:pt>
                <c:pt idx="61">
                  <c:v>1.4084146883576727</c:v>
                </c:pt>
                <c:pt idx="62">
                  <c:v>1.3619714992186405</c:v>
                </c:pt>
                <c:pt idx="63">
                  <c:v>1.3151134403672324</c:v>
                </c:pt>
                <c:pt idx="64">
                  <c:v>1.2678547852220983</c:v>
                </c:pt>
                <c:pt idx="65">
                  <c:v>1.2202099292274011</c:v>
                </c:pt>
                <c:pt idx="66">
                  <c:v>1.1721933854678213</c:v>
                </c:pt>
                <c:pt idx="67">
                  <c:v>1.1238197802477365</c:v>
                </c:pt>
                <c:pt idx="68">
                  <c:v>1.0751038486359006</c:v>
                </c:pt>
                <c:pt idx="69">
                  <c:v>1.0260604299770064</c:v>
                </c:pt>
                <c:pt idx="70">
                  <c:v>0.97670446337147032</c:v>
                </c:pt>
                <c:pt idx="71">
                  <c:v>0.92705098312484235</c:v>
                </c:pt>
                <c:pt idx="72">
                  <c:v>0.87711511416821031</c:v>
                </c:pt>
                <c:pt idx="73">
                  <c:v>0.82691206745099755</c:v>
                </c:pt>
                <c:pt idx="74">
                  <c:v>0.77645713530756222</c:v>
                </c:pt>
                <c:pt idx="75">
                  <c:v>0.725765686799003</c:v>
                </c:pt>
                <c:pt idx="76">
                  <c:v>0.67485316303159548</c:v>
                </c:pt>
                <c:pt idx="77">
                  <c:v>0.62373507245327775</c:v>
                </c:pt>
                <c:pt idx="78">
                  <c:v>0.57242698612963472</c:v>
                </c:pt>
                <c:pt idx="79">
                  <c:v>0.52094453300079124</c:v>
                </c:pt>
                <c:pt idx="80">
                  <c:v>0.46930339512069275</c:v>
                </c:pt>
                <c:pt idx="81">
                  <c:v>0.4175193028801964</c:v>
                </c:pt>
                <c:pt idx="82">
                  <c:v>0.36560803021544247</c:v>
                </c:pt>
                <c:pt idx="83">
                  <c:v>0.31358538980296036</c:v>
                </c:pt>
                <c:pt idx="84">
                  <c:v>0.26146722824297508</c:v>
                </c:pt>
                <c:pt idx="85">
                  <c:v>0.20926942123237569</c:v>
                </c:pt>
                <c:pt idx="86">
                  <c:v>0.15700786872883191</c:v>
                </c:pt>
                <c:pt idx="87">
                  <c:v>0.10469849010750323</c:v>
                </c:pt>
                <c:pt idx="88">
                  <c:v>5.2357219311850792E-2</c:v>
                </c:pt>
                <c:pt idx="89">
                  <c:v>1.83772268236293E-16</c:v>
                </c:pt>
              </c:numCache>
            </c:numRef>
          </c:xVal>
          <c:yVal>
            <c:numRef>
              <c:f>Chart!$G$5:$G$94</c:f>
              <c:numCache>
                <c:formatCode>General</c:formatCode>
                <c:ptCount val="90"/>
                <c:pt idx="0">
                  <c:v>0</c:v>
                </c:pt>
                <c:pt idx="1">
                  <c:v>5.2357219311850535E-2</c:v>
                </c:pt>
                <c:pt idx="2">
                  <c:v>0.1046984901075029</c:v>
                </c:pt>
                <c:pt idx="3">
                  <c:v>0.15700786872883149</c:v>
                </c:pt>
                <c:pt idx="4">
                  <c:v>0.20926942123237591</c:v>
                </c:pt>
                <c:pt idx="5">
                  <c:v>0.26146722824297453</c:v>
                </c:pt>
                <c:pt idx="6">
                  <c:v>0.31358538980296036</c:v>
                </c:pt>
                <c:pt idx="7">
                  <c:v>0.36560803021544241</c:v>
                </c:pt>
                <c:pt idx="8">
                  <c:v>0.41751930288019634</c:v>
                </c:pt>
                <c:pt idx="9">
                  <c:v>0.46930339512069263</c:v>
                </c:pt>
                <c:pt idx="10">
                  <c:v>0.52094453300079102</c:v>
                </c:pt>
                <c:pt idx="11">
                  <c:v>0.57242698612963439</c:v>
                </c:pt>
                <c:pt idx="12">
                  <c:v>0.62373507245327797</c:v>
                </c:pt>
                <c:pt idx="13">
                  <c:v>0.67485316303159493</c:v>
                </c:pt>
                <c:pt idx="14">
                  <c:v>0.72576568679900322</c:v>
                </c:pt>
                <c:pt idx="15">
                  <c:v>0.77645713530756222</c:v>
                </c:pt>
                <c:pt idx="16">
                  <c:v>0.82691206745099755</c:v>
                </c:pt>
                <c:pt idx="17">
                  <c:v>0.87711511416821009</c:v>
                </c:pt>
                <c:pt idx="18">
                  <c:v>0.92705098312484213</c:v>
                </c:pt>
                <c:pt idx="19">
                  <c:v>0.9767044633714701</c:v>
                </c:pt>
                <c:pt idx="20">
                  <c:v>1.0260604299770062</c:v>
                </c:pt>
                <c:pt idx="21">
                  <c:v>1.0751038486359008</c:v>
                </c:pt>
                <c:pt idx="22">
                  <c:v>1.1238197802477361</c:v>
                </c:pt>
                <c:pt idx="23">
                  <c:v>1.1721933854678213</c:v>
                </c:pt>
                <c:pt idx="24">
                  <c:v>1.2202099292274005</c:v>
                </c:pt>
                <c:pt idx="25">
                  <c:v>1.2678547852220983</c:v>
                </c:pt>
                <c:pt idx="26">
                  <c:v>1.3151134403672322</c:v>
                </c:pt>
                <c:pt idx="27">
                  <c:v>1.3619714992186402</c:v>
                </c:pt>
                <c:pt idx="28">
                  <c:v>1.4084146883576725</c:v>
                </c:pt>
                <c:pt idx="29">
                  <c:v>1.4544288607390112</c:v>
                </c:pt>
                <c:pt idx="30">
                  <c:v>1.4999999999999998</c:v>
                </c:pt>
                <c:pt idx="31">
                  <c:v>1.5451142247301624</c:v>
                </c:pt>
                <c:pt idx="32">
                  <c:v>1.5897577926996147</c:v>
                </c:pt>
                <c:pt idx="33">
                  <c:v>1.6339171050450809</c:v>
                </c:pt>
                <c:pt idx="34">
                  <c:v>1.6775787104122404</c:v>
                </c:pt>
                <c:pt idx="35">
                  <c:v>1.7207293090531381</c:v>
                </c:pt>
                <c:pt idx="36">
                  <c:v>1.7633557568774194</c:v>
                </c:pt>
                <c:pt idx="37">
                  <c:v>1.8054450694561448</c:v>
                </c:pt>
                <c:pt idx="38">
                  <c:v>1.846984425976975</c:v>
                </c:pt>
                <c:pt idx="39">
                  <c:v>1.8879611731495125</c:v>
                </c:pt>
                <c:pt idx="40">
                  <c:v>1.9283628290596178</c:v>
                </c:pt>
                <c:pt idx="41">
                  <c:v>1.9681770869715218</c:v>
                </c:pt>
                <c:pt idx="42">
                  <c:v>2.0073918190765747</c:v>
                </c:pt>
                <c:pt idx="43">
                  <c:v>2.0459950801874953</c:v>
                </c:pt>
                <c:pt idx="44">
                  <c:v>2.0839751113769918</c:v>
                </c:pt>
                <c:pt idx="45">
                  <c:v>2.1213203435596424</c:v>
                </c:pt>
                <c:pt idx="46">
                  <c:v>2.1580194010159532</c:v>
                </c:pt>
                <c:pt idx="47">
                  <c:v>2.2294344764321825</c:v>
                </c:pt>
                <c:pt idx="48">
                  <c:v>2.2641287406683155</c:v>
                </c:pt>
                <c:pt idx="49">
                  <c:v>2.2981333293569342</c:v>
                </c:pt>
                <c:pt idx="50">
                  <c:v>2.3314378843709123</c:v>
                </c:pt>
                <c:pt idx="51">
                  <c:v>2.3640322608201658</c:v>
                </c:pt>
                <c:pt idx="52">
                  <c:v>2.3959065301418785</c:v>
                </c:pt>
                <c:pt idx="53">
                  <c:v>2.4270509831248424</c:v>
                </c:pt>
                <c:pt idx="54">
                  <c:v>2.4574561328669753</c:v>
                </c:pt>
                <c:pt idx="55">
                  <c:v>2.4871127176651253</c:v>
                </c:pt>
                <c:pt idx="56">
                  <c:v>2.5160117038362717</c:v>
                </c:pt>
                <c:pt idx="57">
                  <c:v>2.544144288469278</c:v>
                </c:pt>
                <c:pt idx="58">
                  <c:v>2.5715019021063368</c:v>
                </c:pt>
                <c:pt idx="59">
                  <c:v>2.598076211353316</c:v>
                </c:pt>
                <c:pt idx="60">
                  <c:v>2.623859121418187</c:v>
                </c:pt>
                <c:pt idx="61">
                  <c:v>2.6488427785767805</c:v>
                </c:pt>
                <c:pt idx="62">
                  <c:v>2.6730195725651034</c:v>
                </c:pt>
                <c:pt idx="63">
                  <c:v>2.6963821388975013</c:v>
                </c:pt>
                <c:pt idx="64">
                  <c:v>2.7189233611099497</c:v>
                </c:pt>
                <c:pt idx="65">
                  <c:v>2.7406363729278027</c:v>
                </c:pt>
                <c:pt idx="66">
                  <c:v>2.761514560357321</c:v>
                </c:pt>
                <c:pt idx="67">
                  <c:v>2.7815515637003618</c:v>
                </c:pt>
                <c:pt idx="68">
                  <c:v>2.8007412794916053</c:v>
                </c:pt>
                <c:pt idx="69">
                  <c:v>2.8190778623577248</c:v>
                </c:pt>
                <c:pt idx="70">
                  <c:v>2.8365557267979504</c:v>
                </c:pt>
                <c:pt idx="71">
                  <c:v>2.8531695488854605</c:v>
                </c:pt>
                <c:pt idx="72">
                  <c:v>2.8689142678891062</c:v>
                </c:pt>
                <c:pt idx="73">
                  <c:v>2.8837850878149567</c:v>
                </c:pt>
                <c:pt idx="74">
                  <c:v>2.897777478867205</c:v>
                </c:pt>
                <c:pt idx="75">
                  <c:v>2.9108871788279895</c:v>
                </c:pt>
                <c:pt idx="76">
                  <c:v>2.9231101943557056</c:v>
                </c:pt>
                <c:pt idx="77">
                  <c:v>2.9344428022014171</c:v>
                </c:pt>
                <c:pt idx="78">
                  <c:v>2.9448815503429921</c:v>
                </c:pt>
                <c:pt idx="79">
                  <c:v>2.9544232590366239</c:v>
                </c:pt>
                <c:pt idx="80">
                  <c:v>2.9630650217854133</c:v>
                </c:pt>
                <c:pt idx="81">
                  <c:v>2.9708042062247113</c:v>
                </c:pt>
                <c:pt idx="82">
                  <c:v>2.9776384549239658</c:v>
                </c:pt>
                <c:pt idx="83">
                  <c:v>2.9835656861048196</c:v>
                </c:pt>
                <c:pt idx="84">
                  <c:v>2.9885840942752369</c:v>
                </c:pt>
                <c:pt idx="85">
                  <c:v>2.9926921507794724</c:v>
                </c:pt>
                <c:pt idx="86">
                  <c:v>2.9958886042637216</c:v>
                </c:pt>
                <c:pt idx="87">
                  <c:v>2.9981724810572872</c:v>
                </c:pt>
                <c:pt idx="88">
                  <c:v>2.999543085469174</c:v>
                </c:pt>
                <c:pt idx="8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1-498F-BDB4-BFDEE2D5575F}"/>
            </c:ext>
          </c:extLst>
        </c:ser>
        <c:ser>
          <c:idx val="2"/>
          <c:order val="1"/>
          <c:tx>
            <c:strRef>
              <c:f>Chart!$H$4</c:f>
              <c:strCache>
                <c:ptCount val="1"/>
                <c:pt idx="0">
                  <c:v>2020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Chart!$H$5:$H$94</c:f>
              <c:numCache>
                <c:formatCode>General</c:formatCode>
                <c:ptCount val="90"/>
                <c:pt idx="0">
                  <c:v>2</c:v>
                </c:pt>
                <c:pt idx="1">
                  <c:v>1.9996953903127825</c:v>
                </c:pt>
                <c:pt idx="2">
                  <c:v>1.9987816540381915</c:v>
                </c:pt>
                <c:pt idx="3">
                  <c:v>1.9972590695091477</c:v>
                </c:pt>
                <c:pt idx="4">
                  <c:v>1.9951281005196484</c:v>
                </c:pt>
                <c:pt idx="5">
                  <c:v>1.9923893961834911</c:v>
                </c:pt>
                <c:pt idx="6">
                  <c:v>1.9890437907365466</c:v>
                </c:pt>
                <c:pt idx="7">
                  <c:v>1.985092303282644</c:v>
                </c:pt>
                <c:pt idx="8">
                  <c:v>1.9805361374831407</c:v>
                </c:pt>
                <c:pt idx="9">
                  <c:v>1.9753766811902755</c:v>
                </c:pt>
                <c:pt idx="10">
                  <c:v>1.969615506024416</c:v>
                </c:pt>
                <c:pt idx="11">
                  <c:v>1.963254366895328</c:v>
                </c:pt>
                <c:pt idx="12">
                  <c:v>1.9562952014676114</c:v>
                </c:pt>
                <c:pt idx="13">
                  <c:v>1.9487401295704705</c:v>
                </c:pt>
                <c:pt idx="14">
                  <c:v>1.9405914525519929</c:v>
                </c:pt>
                <c:pt idx="15">
                  <c:v>1.9318516525781366</c:v>
                </c:pt>
                <c:pt idx="16">
                  <c:v>1.9225233918766378</c:v>
                </c:pt>
                <c:pt idx="17">
                  <c:v>1.9126095119260711</c:v>
                </c:pt>
                <c:pt idx="18">
                  <c:v>1.9021130325903071</c:v>
                </c:pt>
                <c:pt idx="19">
                  <c:v>1.8910371511986337</c:v>
                </c:pt>
                <c:pt idx="20">
                  <c:v>1.8793852415718169</c:v>
                </c:pt>
                <c:pt idx="21">
                  <c:v>1.8671608529944035</c:v>
                </c:pt>
                <c:pt idx="22">
                  <c:v>1.8543677091335748</c:v>
                </c:pt>
                <c:pt idx="23">
                  <c:v>1.8410097069048807</c:v>
                </c:pt>
                <c:pt idx="24">
                  <c:v>1.8270909152852017</c:v>
                </c:pt>
                <c:pt idx="25">
                  <c:v>1.8126155740732999</c:v>
                </c:pt>
                <c:pt idx="26">
                  <c:v>1.7975880925983341</c:v>
                </c:pt>
                <c:pt idx="27">
                  <c:v>1.7820130483767358</c:v>
                </c:pt>
                <c:pt idx="28">
                  <c:v>1.765895185717854</c:v>
                </c:pt>
                <c:pt idx="29">
                  <c:v>1.7492394142787915</c:v>
                </c:pt>
                <c:pt idx="30">
                  <c:v>1.7320508075688774</c:v>
                </c:pt>
                <c:pt idx="31">
                  <c:v>1.7143346014042247</c:v>
                </c:pt>
                <c:pt idx="32">
                  <c:v>1.6960961923128519</c:v>
                </c:pt>
                <c:pt idx="33">
                  <c:v>1.6773411358908481</c:v>
                </c:pt>
                <c:pt idx="34">
                  <c:v>1.6580751451100835</c:v>
                </c:pt>
                <c:pt idx="35">
                  <c:v>1.6383040885779836</c:v>
                </c:pt>
                <c:pt idx="36">
                  <c:v>1.6180339887498949</c:v>
                </c:pt>
                <c:pt idx="37">
                  <c:v>1.5972710200945857</c:v>
                </c:pt>
                <c:pt idx="38">
                  <c:v>1.5760215072134438</c:v>
                </c:pt>
                <c:pt idx="39">
                  <c:v>1.5542919229139418</c:v>
                </c:pt>
                <c:pt idx="40">
                  <c:v>1.532088886237956</c:v>
                </c:pt>
                <c:pt idx="41">
                  <c:v>1.509419160445544</c:v>
                </c:pt>
                <c:pt idx="42">
                  <c:v>1.4862896509547885</c:v>
                </c:pt>
                <c:pt idx="43">
                  <c:v>1.4627074032383409</c:v>
                </c:pt>
                <c:pt idx="44">
                  <c:v>1.4386796006773024</c:v>
                </c:pt>
                <c:pt idx="45">
                  <c:v>1.4142135623730951</c:v>
                </c:pt>
                <c:pt idx="46">
                  <c:v>1.3893167409179947</c:v>
                </c:pt>
                <c:pt idx="47">
                  <c:v>1.3382612127177165</c:v>
                </c:pt>
                <c:pt idx="48">
                  <c:v>1.3121180579810148</c:v>
                </c:pt>
                <c:pt idx="49">
                  <c:v>1.2855752193730787</c:v>
                </c:pt>
                <c:pt idx="50">
                  <c:v>1.258640782099675</c:v>
                </c:pt>
                <c:pt idx="51">
                  <c:v>1.2313229506513166</c:v>
                </c:pt>
                <c:pt idx="52">
                  <c:v>1.2036300463040968</c:v>
                </c:pt>
                <c:pt idx="53">
                  <c:v>1.1755705045849463</c:v>
                </c:pt>
                <c:pt idx="54">
                  <c:v>1.1471528727020923</c:v>
                </c:pt>
                <c:pt idx="55">
                  <c:v>1.1183858069414936</c:v>
                </c:pt>
                <c:pt idx="56">
                  <c:v>1.0892780700300544</c:v>
                </c:pt>
                <c:pt idx="57">
                  <c:v>1.0598385284664098</c:v>
                </c:pt>
                <c:pt idx="58">
                  <c:v>1.0300761498201088</c:v>
                </c:pt>
                <c:pt idx="59">
                  <c:v>1.0000000000000002</c:v>
                </c:pt>
                <c:pt idx="60">
                  <c:v>0.96961924049267423</c:v>
                </c:pt>
                <c:pt idx="61">
                  <c:v>0.93894312557178172</c:v>
                </c:pt>
                <c:pt idx="62">
                  <c:v>0.90798099947909361</c:v>
                </c:pt>
                <c:pt idx="63">
                  <c:v>0.87674229357815492</c:v>
                </c:pt>
                <c:pt idx="64">
                  <c:v>0.84523652348139888</c:v>
                </c:pt>
                <c:pt idx="65">
                  <c:v>0.81347328615160075</c:v>
                </c:pt>
                <c:pt idx="66">
                  <c:v>0.78146225697854743</c:v>
                </c:pt>
                <c:pt idx="67">
                  <c:v>0.74921318683182436</c:v>
                </c:pt>
                <c:pt idx="68">
                  <c:v>0.71673589909060031</c:v>
                </c:pt>
                <c:pt idx="69">
                  <c:v>0.68404028665133765</c:v>
                </c:pt>
                <c:pt idx="70">
                  <c:v>0.65113630891431351</c:v>
                </c:pt>
                <c:pt idx="71">
                  <c:v>0.6180339887498949</c:v>
                </c:pt>
                <c:pt idx="72">
                  <c:v>0.58474340944547354</c:v>
                </c:pt>
                <c:pt idx="73">
                  <c:v>0.55127471163399833</c:v>
                </c:pt>
                <c:pt idx="74">
                  <c:v>0.51763809020504148</c:v>
                </c:pt>
                <c:pt idx="75">
                  <c:v>0.48384379119933535</c:v>
                </c:pt>
                <c:pt idx="76">
                  <c:v>0.44990210868773028</c:v>
                </c:pt>
                <c:pt idx="77">
                  <c:v>0.41582338163551846</c:v>
                </c:pt>
                <c:pt idx="78">
                  <c:v>0.38161799075308983</c:v>
                </c:pt>
                <c:pt idx="79">
                  <c:v>0.34729635533386083</c:v>
                </c:pt>
                <c:pt idx="80">
                  <c:v>0.31286893008046185</c:v>
                </c:pt>
                <c:pt idx="81">
                  <c:v>0.27834620192013093</c:v>
                </c:pt>
                <c:pt idx="82">
                  <c:v>0.24373868681029498</c:v>
                </c:pt>
                <c:pt idx="83">
                  <c:v>0.20905692653530691</c:v>
                </c:pt>
                <c:pt idx="84">
                  <c:v>0.17431148549531672</c:v>
                </c:pt>
                <c:pt idx="85">
                  <c:v>0.13951294748825047</c:v>
                </c:pt>
                <c:pt idx="86">
                  <c:v>0.10467191248588793</c:v>
                </c:pt>
                <c:pt idx="87">
                  <c:v>6.979899340500216E-2</c:v>
                </c:pt>
                <c:pt idx="88">
                  <c:v>3.4904812874567197E-2</c:v>
                </c:pt>
                <c:pt idx="89">
                  <c:v>1.22514845490862E-16</c:v>
                </c:pt>
              </c:numCache>
            </c:numRef>
          </c:xVal>
          <c:yVal>
            <c:numRef>
              <c:f>Chart!$I$5:$I$94</c:f>
              <c:numCache>
                <c:formatCode>General</c:formatCode>
                <c:ptCount val="90"/>
                <c:pt idx="0">
                  <c:v>0</c:v>
                </c:pt>
                <c:pt idx="1">
                  <c:v>3.4904812874567023E-2</c:v>
                </c:pt>
                <c:pt idx="2">
                  <c:v>6.9798993405001938E-2</c:v>
                </c:pt>
                <c:pt idx="3">
                  <c:v>0.10467191248588766</c:v>
                </c:pt>
                <c:pt idx="4">
                  <c:v>0.1395129474882506</c:v>
                </c:pt>
                <c:pt idx="5">
                  <c:v>0.17431148549531633</c:v>
                </c:pt>
                <c:pt idx="6">
                  <c:v>0.20905692653530691</c:v>
                </c:pt>
                <c:pt idx="7">
                  <c:v>0.24373868681029495</c:v>
                </c:pt>
                <c:pt idx="8">
                  <c:v>0.27834620192013088</c:v>
                </c:pt>
                <c:pt idx="9">
                  <c:v>0.31286893008046174</c:v>
                </c:pt>
                <c:pt idx="10">
                  <c:v>0.34729635533386066</c:v>
                </c:pt>
                <c:pt idx="11">
                  <c:v>0.38161799075308961</c:v>
                </c:pt>
                <c:pt idx="12">
                  <c:v>0.41582338163551863</c:v>
                </c:pt>
                <c:pt idx="13">
                  <c:v>0.44990210868772995</c:v>
                </c:pt>
                <c:pt idx="14">
                  <c:v>0.48384379119933546</c:v>
                </c:pt>
                <c:pt idx="15">
                  <c:v>0.51763809020504148</c:v>
                </c:pt>
                <c:pt idx="16">
                  <c:v>0.55127471163399833</c:v>
                </c:pt>
                <c:pt idx="17">
                  <c:v>0.58474340944547343</c:v>
                </c:pt>
                <c:pt idx="18">
                  <c:v>0.61803398874989479</c:v>
                </c:pt>
                <c:pt idx="19">
                  <c:v>0.6511363089143134</c:v>
                </c:pt>
                <c:pt idx="20">
                  <c:v>0.68404028665133743</c:v>
                </c:pt>
                <c:pt idx="21">
                  <c:v>0.71673589909060054</c:v>
                </c:pt>
                <c:pt idx="22">
                  <c:v>0.74921318683182403</c:v>
                </c:pt>
                <c:pt idx="23">
                  <c:v>0.78146225697854743</c:v>
                </c:pt>
                <c:pt idx="24">
                  <c:v>0.81347328615160031</c:v>
                </c:pt>
                <c:pt idx="25">
                  <c:v>0.84523652348139888</c:v>
                </c:pt>
                <c:pt idx="26">
                  <c:v>0.87674229357815481</c:v>
                </c:pt>
                <c:pt idx="27">
                  <c:v>0.9079809994790935</c:v>
                </c:pt>
                <c:pt idx="28">
                  <c:v>0.93894312557178161</c:v>
                </c:pt>
                <c:pt idx="29">
                  <c:v>0.96961924049267412</c:v>
                </c:pt>
                <c:pt idx="30">
                  <c:v>0.99999999999999989</c:v>
                </c:pt>
                <c:pt idx="31">
                  <c:v>1.0300761498201083</c:v>
                </c:pt>
                <c:pt idx="32">
                  <c:v>1.0598385284664098</c:v>
                </c:pt>
                <c:pt idx="33">
                  <c:v>1.0892780700300539</c:v>
                </c:pt>
                <c:pt idx="34">
                  <c:v>1.1183858069414936</c:v>
                </c:pt>
                <c:pt idx="35">
                  <c:v>1.1471528727020921</c:v>
                </c:pt>
                <c:pt idx="36">
                  <c:v>1.1755705045849463</c:v>
                </c:pt>
                <c:pt idx="37">
                  <c:v>1.2036300463040965</c:v>
                </c:pt>
                <c:pt idx="38">
                  <c:v>1.2313229506513166</c:v>
                </c:pt>
                <c:pt idx="39">
                  <c:v>1.258640782099675</c:v>
                </c:pt>
                <c:pt idx="40">
                  <c:v>1.2855752193730785</c:v>
                </c:pt>
                <c:pt idx="41">
                  <c:v>1.3121180579810146</c:v>
                </c:pt>
                <c:pt idx="42">
                  <c:v>1.3382612127177165</c:v>
                </c:pt>
                <c:pt idx="43">
                  <c:v>1.363996720124997</c:v>
                </c:pt>
                <c:pt idx="44">
                  <c:v>1.3893167409179945</c:v>
                </c:pt>
                <c:pt idx="45">
                  <c:v>1.4142135623730949</c:v>
                </c:pt>
                <c:pt idx="46">
                  <c:v>1.4386796006773022</c:v>
                </c:pt>
                <c:pt idx="47">
                  <c:v>1.4862896509547883</c:v>
                </c:pt>
                <c:pt idx="48">
                  <c:v>1.5094191604455438</c:v>
                </c:pt>
                <c:pt idx="49">
                  <c:v>1.532088886237956</c:v>
                </c:pt>
                <c:pt idx="50">
                  <c:v>1.5542919229139416</c:v>
                </c:pt>
                <c:pt idx="51">
                  <c:v>1.5760215072134438</c:v>
                </c:pt>
                <c:pt idx="52">
                  <c:v>1.5972710200945857</c:v>
                </c:pt>
                <c:pt idx="53">
                  <c:v>1.6180339887498949</c:v>
                </c:pt>
                <c:pt idx="54">
                  <c:v>1.6383040885779836</c:v>
                </c:pt>
                <c:pt idx="55">
                  <c:v>1.6580751451100835</c:v>
                </c:pt>
                <c:pt idx="56">
                  <c:v>1.6773411358908479</c:v>
                </c:pt>
                <c:pt idx="57">
                  <c:v>1.6960961923128519</c:v>
                </c:pt>
                <c:pt idx="58">
                  <c:v>1.7143346014042244</c:v>
                </c:pt>
                <c:pt idx="59">
                  <c:v>1.7320508075688772</c:v>
                </c:pt>
                <c:pt idx="60">
                  <c:v>1.7492394142787915</c:v>
                </c:pt>
                <c:pt idx="61">
                  <c:v>1.7658951857178538</c:v>
                </c:pt>
                <c:pt idx="62">
                  <c:v>1.7820130483767356</c:v>
                </c:pt>
                <c:pt idx="63">
                  <c:v>1.7975880925983341</c:v>
                </c:pt>
                <c:pt idx="64">
                  <c:v>1.8126155740732999</c:v>
                </c:pt>
                <c:pt idx="65">
                  <c:v>1.8270909152852017</c:v>
                </c:pt>
                <c:pt idx="66">
                  <c:v>1.8410097069048807</c:v>
                </c:pt>
                <c:pt idx="67">
                  <c:v>1.8543677091335746</c:v>
                </c:pt>
                <c:pt idx="68">
                  <c:v>1.8671608529944035</c:v>
                </c:pt>
                <c:pt idx="69">
                  <c:v>1.8793852415718166</c:v>
                </c:pt>
                <c:pt idx="70">
                  <c:v>1.8910371511986335</c:v>
                </c:pt>
                <c:pt idx="71">
                  <c:v>1.9021130325903071</c:v>
                </c:pt>
                <c:pt idx="72">
                  <c:v>1.9126095119260709</c:v>
                </c:pt>
                <c:pt idx="73">
                  <c:v>1.9225233918766378</c:v>
                </c:pt>
                <c:pt idx="74">
                  <c:v>1.9318516525781366</c:v>
                </c:pt>
                <c:pt idx="75">
                  <c:v>1.9405914525519929</c:v>
                </c:pt>
                <c:pt idx="76">
                  <c:v>1.9487401295704705</c:v>
                </c:pt>
                <c:pt idx="77">
                  <c:v>1.9562952014676114</c:v>
                </c:pt>
                <c:pt idx="78">
                  <c:v>1.963254366895328</c:v>
                </c:pt>
                <c:pt idx="79">
                  <c:v>1.969615506024416</c:v>
                </c:pt>
                <c:pt idx="80">
                  <c:v>1.9753766811902755</c:v>
                </c:pt>
                <c:pt idx="81">
                  <c:v>1.9805361374831407</c:v>
                </c:pt>
                <c:pt idx="82">
                  <c:v>1.985092303282644</c:v>
                </c:pt>
                <c:pt idx="83">
                  <c:v>1.9890437907365466</c:v>
                </c:pt>
                <c:pt idx="84">
                  <c:v>1.9923893961834911</c:v>
                </c:pt>
                <c:pt idx="85">
                  <c:v>1.9951281005196484</c:v>
                </c:pt>
                <c:pt idx="86">
                  <c:v>1.9972590695091477</c:v>
                </c:pt>
                <c:pt idx="87">
                  <c:v>1.9987816540381915</c:v>
                </c:pt>
                <c:pt idx="88">
                  <c:v>1.9996953903127825</c:v>
                </c:pt>
                <c:pt idx="8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21-498F-BDB4-BFDEE2D5575F}"/>
            </c:ext>
          </c:extLst>
        </c:ser>
        <c:ser>
          <c:idx val="3"/>
          <c:order val="2"/>
          <c:tx>
            <c:strRef>
              <c:f>Chart!$J$4</c:f>
              <c:strCache>
                <c:ptCount val="1"/>
                <c:pt idx="0">
                  <c:v>2021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Chart!$J$5:$J$94</c:f>
              <c:numCache>
                <c:formatCode>General</c:formatCode>
                <c:ptCount val="90"/>
                <c:pt idx="0">
                  <c:v>1</c:v>
                </c:pt>
                <c:pt idx="1">
                  <c:v>0.99984769515639127</c:v>
                </c:pt>
                <c:pt idx="2">
                  <c:v>0.99939082701909576</c:v>
                </c:pt>
                <c:pt idx="3">
                  <c:v>0.99862953475457383</c:v>
                </c:pt>
                <c:pt idx="4">
                  <c:v>0.9975640502598242</c:v>
                </c:pt>
                <c:pt idx="5">
                  <c:v>0.99619469809174555</c:v>
                </c:pt>
                <c:pt idx="6">
                  <c:v>0.99452189536827329</c:v>
                </c:pt>
                <c:pt idx="7">
                  <c:v>0.99254615164132198</c:v>
                </c:pt>
                <c:pt idx="8">
                  <c:v>0.99026806874157036</c:v>
                </c:pt>
                <c:pt idx="9">
                  <c:v>0.98768834059513777</c:v>
                </c:pt>
                <c:pt idx="10">
                  <c:v>0.98480775301220802</c:v>
                </c:pt>
                <c:pt idx="11">
                  <c:v>0.98162718344766398</c:v>
                </c:pt>
                <c:pt idx="12">
                  <c:v>0.97814760073380569</c:v>
                </c:pt>
                <c:pt idx="13">
                  <c:v>0.97437006478523525</c:v>
                </c:pt>
                <c:pt idx="14">
                  <c:v>0.97029572627599647</c:v>
                </c:pt>
                <c:pt idx="15">
                  <c:v>0.96592582628906831</c:v>
                </c:pt>
                <c:pt idx="16">
                  <c:v>0.96126169593831889</c:v>
                </c:pt>
                <c:pt idx="17">
                  <c:v>0.95630475596303555</c:v>
                </c:pt>
                <c:pt idx="18">
                  <c:v>0.95105651629515353</c:v>
                </c:pt>
                <c:pt idx="19">
                  <c:v>0.94551857559931685</c:v>
                </c:pt>
                <c:pt idx="20">
                  <c:v>0.93969262078590843</c:v>
                </c:pt>
                <c:pt idx="21">
                  <c:v>0.93358042649720174</c:v>
                </c:pt>
                <c:pt idx="22">
                  <c:v>0.92718385456678742</c:v>
                </c:pt>
                <c:pt idx="23">
                  <c:v>0.92050485345244037</c:v>
                </c:pt>
                <c:pt idx="24">
                  <c:v>0.91354545764260087</c:v>
                </c:pt>
                <c:pt idx="25">
                  <c:v>0.90630778703664994</c:v>
                </c:pt>
                <c:pt idx="26">
                  <c:v>0.89879404629916704</c:v>
                </c:pt>
                <c:pt idx="27">
                  <c:v>0.8910065241883679</c:v>
                </c:pt>
                <c:pt idx="28">
                  <c:v>0.88294759285892699</c:v>
                </c:pt>
                <c:pt idx="29">
                  <c:v>0.87461970713939574</c:v>
                </c:pt>
                <c:pt idx="30">
                  <c:v>0.86602540378443871</c:v>
                </c:pt>
                <c:pt idx="31">
                  <c:v>0.85716730070211233</c:v>
                </c:pt>
                <c:pt idx="32">
                  <c:v>0.84804809615642596</c:v>
                </c:pt>
                <c:pt idx="33">
                  <c:v>0.83867056794542405</c:v>
                </c:pt>
                <c:pt idx="34">
                  <c:v>0.82903757255504174</c:v>
                </c:pt>
                <c:pt idx="35">
                  <c:v>0.8191520442889918</c:v>
                </c:pt>
                <c:pt idx="36">
                  <c:v>0.80901699437494745</c:v>
                </c:pt>
                <c:pt idx="37">
                  <c:v>0.79863551004729283</c:v>
                </c:pt>
                <c:pt idx="38">
                  <c:v>0.7880107536067219</c:v>
                </c:pt>
                <c:pt idx="39">
                  <c:v>0.7771459614569709</c:v>
                </c:pt>
                <c:pt idx="40">
                  <c:v>0.76604444311897801</c:v>
                </c:pt>
                <c:pt idx="41">
                  <c:v>0.75470958022277201</c:v>
                </c:pt>
                <c:pt idx="42">
                  <c:v>0.74314482547739424</c:v>
                </c:pt>
                <c:pt idx="43">
                  <c:v>0.73135370161917046</c:v>
                </c:pt>
                <c:pt idx="44">
                  <c:v>0.71933980033865119</c:v>
                </c:pt>
                <c:pt idx="45">
                  <c:v>0.70710678118654757</c:v>
                </c:pt>
                <c:pt idx="46">
                  <c:v>0.69465837045899737</c:v>
                </c:pt>
                <c:pt idx="47">
                  <c:v>0.66913060635885824</c:v>
                </c:pt>
                <c:pt idx="48">
                  <c:v>0.65605902899050739</c:v>
                </c:pt>
                <c:pt idx="49">
                  <c:v>0.64278760968653936</c:v>
                </c:pt>
                <c:pt idx="50">
                  <c:v>0.6293203910498375</c:v>
                </c:pt>
                <c:pt idx="51">
                  <c:v>0.61566147532565829</c:v>
                </c:pt>
                <c:pt idx="52">
                  <c:v>0.60181502315204838</c:v>
                </c:pt>
                <c:pt idx="53">
                  <c:v>0.58778525229247314</c:v>
                </c:pt>
                <c:pt idx="54">
                  <c:v>0.57357643635104616</c:v>
                </c:pt>
                <c:pt idx="55">
                  <c:v>0.55919290347074679</c:v>
                </c:pt>
                <c:pt idx="56">
                  <c:v>0.5446390350150272</c:v>
                </c:pt>
                <c:pt idx="57">
                  <c:v>0.5299192642332049</c:v>
                </c:pt>
                <c:pt idx="58">
                  <c:v>0.51503807491005438</c:v>
                </c:pt>
                <c:pt idx="59">
                  <c:v>0.50000000000000011</c:v>
                </c:pt>
                <c:pt idx="60">
                  <c:v>0.48480962024633711</c:v>
                </c:pt>
                <c:pt idx="61">
                  <c:v>0.46947156278589086</c:v>
                </c:pt>
                <c:pt idx="62">
                  <c:v>0.4539904997395468</c:v>
                </c:pt>
                <c:pt idx="63">
                  <c:v>0.43837114678907746</c:v>
                </c:pt>
                <c:pt idx="64">
                  <c:v>0.42261826174069944</c:v>
                </c:pt>
                <c:pt idx="65">
                  <c:v>0.40673664307580037</c:v>
                </c:pt>
                <c:pt idx="66">
                  <c:v>0.39073112848927372</c:v>
                </c:pt>
                <c:pt idx="67">
                  <c:v>0.37460659341591218</c:v>
                </c:pt>
                <c:pt idx="68">
                  <c:v>0.35836794954530016</c:v>
                </c:pt>
                <c:pt idx="69">
                  <c:v>0.34202014332566882</c:v>
                </c:pt>
                <c:pt idx="70">
                  <c:v>0.32556815445715676</c:v>
                </c:pt>
                <c:pt idx="71">
                  <c:v>0.30901699437494745</c:v>
                </c:pt>
                <c:pt idx="72">
                  <c:v>0.29237170472273677</c:v>
                </c:pt>
                <c:pt idx="73">
                  <c:v>0.27563735581699916</c:v>
                </c:pt>
                <c:pt idx="74">
                  <c:v>0.25881904510252074</c:v>
                </c:pt>
                <c:pt idx="75">
                  <c:v>0.24192189559966767</c:v>
                </c:pt>
                <c:pt idx="76">
                  <c:v>0.22495105434386514</c:v>
                </c:pt>
                <c:pt idx="77">
                  <c:v>0.20791169081775923</c:v>
                </c:pt>
                <c:pt idx="78">
                  <c:v>0.19080899537654492</c:v>
                </c:pt>
                <c:pt idx="79">
                  <c:v>0.17364817766693041</c:v>
                </c:pt>
                <c:pt idx="80">
                  <c:v>0.15643446504023092</c:v>
                </c:pt>
                <c:pt idx="81">
                  <c:v>0.13917310096006547</c:v>
                </c:pt>
                <c:pt idx="82">
                  <c:v>0.12186934340514749</c:v>
                </c:pt>
                <c:pt idx="83">
                  <c:v>0.10452846326765346</c:v>
                </c:pt>
                <c:pt idx="84">
                  <c:v>8.715574274765836E-2</c:v>
                </c:pt>
                <c:pt idx="85">
                  <c:v>6.9756473744125233E-2</c:v>
                </c:pt>
                <c:pt idx="86">
                  <c:v>5.2335956242943966E-2</c:v>
                </c:pt>
                <c:pt idx="87">
                  <c:v>3.489949670250108E-2</c:v>
                </c:pt>
                <c:pt idx="88">
                  <c:v>1.7452406437283598E-2</c:v>
                </c:pt>
                <c:pt idx="89">
                  <c:v>6.1257422745431001E-17</c:v>
                </c:pt>
              </c:numCache>
            </c:numRef>
          </c:xVal>
          <c:yVal>
            <c:numRef>
              <c:f>Chart!$K$5:$K$94</c:f>
              <c:numCache>
                <c:formatCode>General</c:formatCode>
                <c:ptCount val="90"/>
                <c:pt idx="0">
                  <c:v>0</c:v>
                </c:pt>
                <c:pt idx="1">
                  <c:v>1.7452406437283512E-2</c:v>
                </c:pt>
                <c:pt idx="2">
                  <c:v>3.4899496702500969E-2</c:v>
                </c:pt>
                <c:pt idx="3">
                  <c:v>5.2335956242943828E-2</c:v>
                </c:pt>
                <c:pt idx="4">
                  <c:v>6.9756473744125302E-2</c:v>
                </c:pt>
                <c:pt idx="5">
                  <c:v>8.7155742747658166E-2</c:v>
                </c:pt>
                <c:pt idx="6">
                  <c:v>0.10452846326765346</c:v>
                </c:pt>
                <c:pt idx="7">
                  <c:v>0.12186934340514748</c:v>
                </c:pt>
                <c:pt idx="8">
                  <c:v>0.13917310096006544</c:v>
                </c:pt>
                <c:pt idx="9">
                  <c:v>0.15643446504023087</c:v>
                </c:pt>
                <c:pt idx="10">
                  <c:v>0.17364817766693033</c:v>
                </c:pt>
                <c:pt idx="11">
                  <c:v>0.1908089953765448</c:v>
                </c:pt>
                <c:pt idx="12">
                  <c:v>0.20791169081775931</c:v>
                </c:pt>
                <c:pt idx="13">
                  <c:v>0.22495105434386498</c:v>
                </c:pt>
                <c:pt idx="14">
                  <c:v>0.24192189559966773</c:v>
                </c:pt>
                <c:pt idx="15">
                  <c:v>0.25881904510252074</c:v>
                </c:pt>
                <c:pt idx="16">
                  <c:v>0.27563735581699916</c:v>
                </c:pt>
                <c:pt idx="17">
                  <c:v>0.29237170472273671</c:v>
                </c:pt>
                <c:pt idx="18">
                  <c:v>0.3090169943749474</c:v>
                </c:pt>
                <c:pt idx="19">
                  <c:v>0.3255681544571567</c:v>
                </c:pt>
                <c:pt idx="20">
                  <c:v>0.34202014332566871</c:v>
                </c:pt>
                <c:pt idx="21">
                  <c:v>0.35836794954530027</c:v>
                </c:pt>
                <c:pt idx="22">
                  <c:v>0.37460659341591201</c:v>
                </c:pt>
                <c:pt idx="23">
                  <c:v>0.39073112848927372</c:v>
                </c:pt>
                <c:pt idx="24">
                  <c:v>0.40673664307580015</c:v>
                </c:pt>
                <c:pt idx="25">
                  <c:v>0.42261826174069944</c:v>
                </c:pt>
                <c:pt idx="26">
                  <c:v>0.4383711467890774</c:v>
                </c:pt>
                <c:pt idx="27">
                  <c:v>0.45399049973954675</c:v>
                </c:pt>
                <c:pt idx="28">
                  <c:v>0.46947156278589081</c:v>
                </c:pt>
                <c:pt idx="29">
                  <c:v>0.48480962024633706</c:v>
                </c:pt>
                <c:pt idx="30">
                  <c:v>0.49999999999999994</c:v>
                </c:pt>
                <c:pt idx="31">
                  <c:v>0.51503807491005416</c:v>
                </c:pt>
                <c:pt idx="32">
                  <c:v>0.5299192642332049</c:v>
                </c:pt>
                <c:pt idx="33">
                  <c:v>0.54463903501502697</c:v>
                </c:pt>
                <c:pt idx="34">
                  <c:v>0.55919290347074679</c:v>
                </c:pt>
                <c:pt idx="35">
                  <c:v>0.57357643635104605</c:v>
                </c:pt>
                <c:pt idx="36">
                  <c:v>0.58778525229247314</c:v>
                </c:pt>
                <c:pt idx="37">
                  <c:v>0.60181502315204827</c:v>
                </c:pt>
                <c:pt idx="38">
                  <c:v>0.61566147532565829</c:v>
                </c:pt>
                <c:pt idx="39">
                  <c:v>0.6293203910498375</c:v>
                </c:pt>
                <c:pt idx="40">
                  <c:v>0.64278760968653925</c:v>
                </c:pt>
                <c:pt idx="41">
                  <c:v>0.65605902899050728</c:v>
                </c:pt>
                <c:pt idx="42">
                  <c:v>0.66913060635885824</c:v>
                </c:pt>
                <c:pt idx="43">
                  <c:v>0.68199836006249848</c:v>
                </c:pt>
                <c:pt idx="44">
                  <c:v>0.69465837045899725</c:v>
                </c:pt>
                <c:pt idx="45">
                  <c:v>0.70710678118654746</c:v>
                </c:pt>
                <c:pt idx="46">
                  <c:v>0.71933980033865108</c:v>
                </c:pt>
                <c:pt idx="47">
                  <c:v>0.74314482547739413</c:v>
                </c:pt>
                <c:pt idx="48">
                  <c:v>0.7547095802227719</c:v>
                </c:pt>
                <c:pt idx="49">
                  <c:v>0.76604444311897801</c:v>
                </c:pt>
                <c:pt idx="50">
                  <c:v>0.77714596145697079</c:v>
                </c:pt>
                <c:pt idx="51">
                  <c:v>0.7880107536067219</c:v>
                </c:pt>
                <c:pt idx="52">
                  <c:v>0.79863551004729283</c:v>
                </c:pt>
                <c:pt idx="53">
                  <c:v>0.80901699437494745</c:v>
                </c:pt>
                <c:pt idx="54">
                  <c:v>0.8191520442889918</c:v>
                </c:pt>
                <c:pt idx="55">
                  <c:v>0.82903757255504174</c:v>
                </c:pt>
                <c:pt idx="56">
                  <c:v>0.83867056794542394</c:v>
                </c:pt>
                <c:pt idx="57">
                  <c:v>0.84804809615642596</c:v>
                </c:pt>
                <c:pt idx="58">
                  <c:v>0.85716730070211222</c:v>
                </c:pt>
                <c:pt idx="59">
                  <c:v>0.8660254037844386</c:v>
                </c:pt>
                <c:pt idx="60">
                  <c:v>0.87461970713939574</c:v>
                </c:pt>
                <c:pt idx="61">
                  <c:v>0.88294759285892688</c:v>
                </c:pt>
                <c:pt idx="62">
                  <c:v>0.89100652418836779</c:v>
                </c:pt>
                <c:pt idx="63">
                  <c:v>0.89879404629916704</c:v>
                </c:pt>
                <c:pt idx="64">
                  <c:v>0.90630778703664994</c:v>
                </c:pt>
                <c:pt idx="65">
                  <c:v>0.91354545764260087</c:v>
                </c:pt>
                <c:pt idx="66">
                  <c:v>0.92050485345244037</c:v>
                </c:pt>
                <c:pt idx="67">
                  <c:v>0.92718385456678731</c:v>
                </c:pt>
                <c:pt idx="68">
                  <c:v>0.93358042649720174</c:v>
                </c:pt>
                <c:pt idx="69">
                  <c:v>0.93969262078590832</c:v>
                </c:pt>
                <c:pt idx="70">
                  <c:v>0.94551857559931674</c:v>
                </c:pt>
                <c:pt idx="71">
                  <c:v>0.95105651629515353</c:v>
                </c:pt>
                <c:pt idx="72">
                  <c:v>0.95630475596303544</c:v>
                </c:pt>
                <c:pt idx="73">
                  <c:v>0.96126169593831889</c:v>
                </c:pt>
                <c:pt idx="74">
                  <c:v>0.96592582628906831</c:v>
                </c:pt>
                <c:pt idx="75">
                  <c:v>0.97029572627599647</c:v>
                </c:pt>
                <c:pt idx="76">
                  <c:v>0.97437006478523525</c:v>
                </c:pt>
                <c:pt idx="77">
                  <c:v>0.97814760073380569</c:v>
                </c:pt>
                <c:pt idx="78">
                  <c:v>0.98162718344766398</c:v>
                </c:pt>
                <c:pt idx="79">
                  <c:v>0.98480775301220802</c:v>
                </c:pt>
                <c:pt idx="80">
                  <c:v>0.98768834059513777</c:v>
                </c:pt>
                <c:pt idx="81">
                  <c:v>0.99026806874157036</c:v>
                </c:pt>
                <c:pt idx="82">
                  <c:v>0.99254615164132198</c:v>
                </c:pt>
                <c:pt idx="83">
                  <c:v>0.99452189536827329</c:v>
                </c:pt>
                <c:pt idx="84">
                  <c:v>0.99619469809174555</c:v>
                </c:pt>
                <c:pt idx="85">
                  <c:v>0.9975640502598242</c:v>
                </c:pt>
                <c:pt idx="86">
                  <c:v>0.99862953475457383</c:v>
                </c:pt>
                <c:pt idx="87">
                  <c:v>0.99939082701909576</c:v>
                </c:pt>
                <c:pt idx="88">
                  <c:v>0.99984769515639127</c:v>
                </c:pt>
                <c:pt idx="8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21-498F-BDB4-BFDEE2D5575F}"/>
            </c:ext>
          </c:extLst>
        </c:ser>
        <c:ser>
          <c:idx val="0"/>
          <c:order val="3"/>
          <c:tx>
            <c:v>Line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021-498F-BDB4-BFDEE2D5575F}"/>
              </c:ext>
            </c:extLst>
          </c:dPt>
          <c:xVal>
            <c:numRef>
              <c:f>Chart!$W$22:$W$23</c:f>
              <c:numCache>
                <c:formatCode>General</c:formatCode>
                <c:ptCount val="2"/>
                <c:pt idx="0">
                  <c:v>9.659258262890684E-2</c:v>
                </c:pt>
                <c:pt idx="1">
                  <c:v>3.0909626441250189</c:v>
                </c:pt>
              </c:numCache>
            </c:numRef>
          </c:xVal>
          <c:yVal>
            <c:numRef>
              <c:f>Chart!$X$22:$X$23</c:f>
              <c:numCache>
                <c:formatCode>General</c:formatCode>
                <c:ptCount val="2"/>
                <c:pt idx="0">
                  <c:v>2.5881904510252074E-2</c:v>
                </c:pt>
                <c:pt idx="1">
                  <c:v>0.82822094432806637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21-498F-BDB4-BFDEE2D5575F}"/>
            </c:ext>
          </c:extLst>
        </c:ser>
        <c:ser>
          <c:idx val="4"/>
          <c:order val="4"/>
          <c:tx>
            <c:v>Line 2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021-498F-BDB4-BFDEE2D5575F}"/>
              </c:ext>
            </c:extLst>
          </c:dPt>
          <c:xVal>
            <c:numRef>
              <c:f>Chart!$W$24:$W$25</c:f>
              <c:numCache>
                <c:formatCode>General</c:formatCode>
                <c:ptCount val="2"/>
                <c:pt idx="0">
                  <c:v>7.0710678118654766E-2</c:v>
                </c:pt>
                <c:pt idx="1">
                  <c:v>2.2627416997969525</c:v>
                </c:pt>
              </c:numCache>
            </c:numRef>
          </c:xVal>
          <c:yVal>
            <c:numRef>
              <c:f>Chart!$X$24:$X$25</c:f>
              <c:numCache>
                <c:formatCode>General</c:formatCode>
                <c:ptCount val="2"/>
                <c:pt idx="0">
                  <c:v>7.0710678118654752E-2</c:v>
                </c:pt>
                <c:pt idx="1">
                  <c:v>2.2627416997969521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021-498F-BDB4-BFDEE2D5575F}"/>
            </c:ext>
          </c:extLst>
        </c:ser>
        <c:ser>
          <c:idx val="5"/>
          <c:order val="5"/>
          <c:tx>
            <c:v>Line 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021-498F-BDB4-BFDEE2D5575F}"/>
              </c:ext>
            </c:extLst>
          </c:dPt>
          <c:xVal>
            <c:numRef>
              <c:f>Chart!$W$26:$W$27</c:f>
              <c:numCache>
                <c:formatCode>General</c:formatCode>
                <c:ptCount val="2"/>
                <c:pt idx="0">
                  <c:v>4.2261826174069948E-2</c:v>
                </c:pt>
                <c:pt idx="1">
                  <c:v>1.3523784375702383</c:v>
                </c:pt>
              </c:numCache>
            </c:numRef>
          </c:xVal>
          <c:yVal>
            <c:numRef>
              <c:f>Chart!$X$26:$X$27</c:f>
              <c:numCache>
                <c:formatCode>General</c:formatCode>
                <c:ptCount val="2"/>
                <c:pt idx="0">
                  <c:v>9.0630778703664996E-2</c:v>
                </c:pt>
                <c:pt idx="1">
                  <c:v>2.9001849185172799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021-498F-BDB4-BFDEE2D5575F}"/>
            </c:ext>
          </c:extLst>
        </c:ser>
        <c:ser>
          <c:idx val="7"/>
          <c:order val="6"/>
          <c:tx>
            <c:strRef>
              <c:f>Chart!$F$4:$K$4</c:f>
              <c:strCache>
                <c:ptCount val="1"/>
                <c:pt idx="0">
                  <c:v>2019 2020 2021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B021-498F-BDB4-BFDEE2D5575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29A943E-728D-4F01-8F79-AF2AEB56983F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9C7CD0-08AB-4B57-8908-FB70C6AB5BF0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CDF0CB-B953-44AC-B973-742DE9240ECA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39400A-1BCE-4029-8BD8-3EBF27C8418E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8E58A3-316F-4FC3-8B0A-2392F41EC87D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Chart!$F$5:$K$5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xVal>
          <c:yVal>
            <c:numRef>
              <c:f>Chart!$F$3:$K$3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Chart!$F$2:$J$2</c15:f>
                <c15:dlblRangeCache>
                  <c:ptCount val="5"/>
                  <c:pt idx="0">
                    <c:v>2019
</c:v>
                  </c:pt>
                  <c:pt idx="2">
                    <c:v>2020
</c:v>
                  </c:pt>
                  <c:pt idx="4">
                    <c:v>2021
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B021-498F-BDB4-BFDEE2D5575F}"/>
            </c:ext>
          </c:extLst>
        </c:ser>
        <c:ser>
          <c:idx val="11"/>
          <c:order val="7"/>
          <c:tx>
            <c:v>Red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FF0000"/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B021-498F-BDB4-BFDEE2D557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B021-498F-BDB4-BFDEE2D557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B021-498F-BDB4-BFDEE2D557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B021-498F-BDB4-BFDEE2D557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B021-498F-BDB4-BFDEE2D557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B021-498F-BDB4-BFDEE2D557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B021-498F-BDB4-BFDEE2D557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86E46C-5263-4643-A33E-AB5E61D0EA17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21-498F-BDB4-BFDEE2D557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B021-498F-BDB4-BFDEE2D557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B021-498F-BDB4-BFDEE2D557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B021-498F-BDB4-BFDEE2D557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B021-498F-BDB4-BFDEE2D557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Sheet1!$J$2:$J$21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1.2801071621764288</c:v>
                </c:pt>
                <c:pt idx="15">
                  <c:v>#N/A</c:v>
                </c:pt>
              </c:numCache>
            </c:numRef>
          </c:xVal>
          <c:yVal>
            <c:numRef>
              <c:f>Sheet1!$K$2:$K$21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2.1473997423266611</c:v>
                </c:pt>
                <c:pt idx="15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Sheet1!$A$2:$A$17</c15:f>
                <c15:dlblRangeCache>
                  <c:ptCount val="16"/>
                  <c:pt idx="0">
                    <c:v>Testing VBA </c:v>
                  </c:pt>
                  <c:pt idx="1">
                    <c:v>ONE </c:v>
                  </c:pt>
                  <c:pt idx="2">
                    <c:v>CAT 1 TEST</c:v>
                  </c:pt>
                  <c:pt idx="3">
                    <c:v>Testing VBA 31 March</c:v>
                  </c:pt>
                  <c:pt idx="4">
                    <c:v>VBA Folders 2</c:v>
                  </c:pt>
                  <c:pt idx="5">
                    <c:v>VBA Folders 3</c:v>
                  </c:pt>
                  <c:pt idx="6">
                    <c:v>Testing P3 Cat 3</c:v>
                  </c:pt>
                  <c:pt idx="7">
                    <c:v>VBA Folders 4.1</c:v>
                  </c:pt>
                  <c:pt idx="8">
                    <c:v>Cat 4 Prj</c:v>
                  </c:pt>
                  <c:pt idx="9">
                    <c:v>Category 4 Prj</c:v>
                  </c:pt>
                  <c:pt idx="10">
                    <c:v>VBA Folders 4.1.2</c:v>
                  </c:pt>
                  <c:pt idx="11">
                    <c:v>VBA Folders 4.1.3</c:v>
                  </c:pt>
                  <c:pt idx="12">
                    <c:v>Testing P3 Cat 3.3</c:v>
                  </c:pt>
                  <c:pt idx="13">
                    <c:v>Testing P3 again</c:v>
                  </c:pt>
                  <c:pt idx="14">
                    <c:v>PowerBI </c:v>
                  </c:pt>
                  <c:pt idx="15">
                    <c:v>Ad Hoc requests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B021-498F-BDB4-BFDEE2D5575F}"/>
            </c:ext>
          </c:extLst>
        </c:ser>
        <c:ser>
          <c:idx val="12"/>
          <c:order val="8"/>
          <c:tx>
            <c:v>Amber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FFC000"/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7A6CB0E-E489-4AA4-A510-E2ABEFCEC626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528F4C-3A63-4943-9074-F07D4DDA9C36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889DE6-71A4-4AEB-AB7E-45A08B0720C1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D308B2-856A-4C22-9646-A0416AF3B448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CA488E-B2A8-4744-B1E8-B17BA883D01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B9B15E-FBF2-4513-9595-835A6812842E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21-498F-BDB4-BFDEE2D557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C32724-BD19-48ED-9918-847374E57434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21-498F-BDB4-BFDEE2D557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F902AE-74E5-43FA-983F-2130C80C204A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21-498F-BDB4-BFDEE2D557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0070BE-EDCD-4D67-8841-74A5FFD4C7B0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21-498F-BDB4-BFDEE2D557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F1C1A2-C113-4541-9011-8E8E393DAA94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21-498F-BDB4-BFDEE2D557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B021-498F-BDB4-BFDEE2D557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B021-498F-BDB4-BFDEE2D557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B021-498F-BDB4-BFDEE2D557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B021-498F-BDB4-BFDEE2D557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B021-498F-BDB4-BFDEE2D557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B021-498F-BDB4-BFDEE2D557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B021-498F-BDB4-BFDEE2D557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Sheet1!$L$2:$L$21</c:f>
              <c:numCache>
                <c:formatCode>General</c:formatCode>
                <c:ptCount val="20"/>
                <c:pt idx="0">
                  <c:v>1.8276817785107344</c:v>
                </c:pt>
                <c:pt idx="1">
                  <c:v>#N/A</c:v>
                </c:pt>
                <c:pt idx="2">
                  <c:v>0.8270328522135848</c:v>
                </c:pt>
                <c:pt idx="3">
                  <c:v>2.0559494091808488</c:v>
                </c:pt>
                <c:pt idx="4">
                  <c:v>1.7169295596291994</c:v>
                </c:pt>
                <c:pt idx="5">
                  <c:v>#N/A</c:v>
                </c:pt>
                <c:pt idx="6">
                  <c:v>1.0951264469851005</c:v>
                </c:pt>
                <c:pt idx="7">
                  <c:v>3.6360910706221519E-3</c:v>
                </c:pt>
                <c:pt idx="8">
                  <c:v>7.197632889162589E-2</c:v>
                </c:pt>
                <c:pt idx="9">
                  <c:v>0.74180395184127146</c:v>
                </c:pt>
                <c:pt idx="10">
                  <c:v>8.7017461480034489E-2</c:v>
                </c:pt>
                <c:pt idx="11">
                  <c:v>7.2721129153115807E-3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Sheet1!$M$2:$M$21</c:f>
              <c:numCache>
                <c:formatCode>General</c:formatCode>
                <c:ptCount val="20"/>
                <c:pt idx="0">
                  <c:v>0.14384167550104907</c:v>
                </c:pt>
                <c:pt idx="1">
                  <c:v>#N/A</c:v>
                </c:pt>
                <c:pt idx="2">
                  <c:v>0.10227954733917903</c:v>
                </c:pt>
                <c:pt idx="3">
                  <c:v>0.33667462729866904</c:v>
                </c:pt>
                <c:pt idx="4">
                  <c:v>1.1800129935934018</c:v>
                </c:pt>
                <c:pt idx="5">
                  <c:v>#N/A</c:v>
                </c:pt>
                <c:pt idx="6">
                  <c:v>1.6735286269179233</c:v>
                </c:pt>
                <c:pt idx="7">
                  <c:v>0.83332540060061211</c:v>
                </c:pt>
                <c:pt idx="8">
                  <c:v>1.8319198997746586</c:v>
                </c:pt>
                <c:pt idx="9">
                  <c:v>2.1242002958837642</c:v>
                </c:pt>
                <c:pt idx="10">
                  <c:v>0.66096324091587366</c:v>
                </c:pt>
                <c:pt idx="11">
                  <c:v>0.83330160255347607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Sheet1!$A$2:$A$21</c15:f>
                <c15:dlblRangeCache>
                  <c:ptCount val="20"/>
                  <c:pt idx="0">
                    <c:v>Testing VBA </c:v>
                  </c:pt>
                  <c:pt idx="1">
                    <c:v>ONE </c:v>
                  </c:pt>
                  <c:pt idx="2">
                    <c:v>CAT 1 TEST</c:v>
                  </c:pt>
                  <c:pt idx="3">
                    <c:v>Testing VBA 31 March</c:v>
                  </c:pt>
                  <c:pt idx="4">
                    <c:v>VBA Folders 2</c:v>
                  </c:pt>
                  <c:pt idx="5">
                    <c:v>VBA Folders 3</c:v>
                  </c:pt>
                  <c:pt idx="6">
                    <c:v>Testing P3 Cat 3</c:v>
                  </c:pt>
                  <c:pt idx="7">
                    <c:v>VBA Folders 4.1</c:v>
                  </c:pt>
                  <c:pt idx="8">
                    <c:v>Cat 4 Prj</c:v>
                  </c:pt>
                  <c:pt idx="9">
                    <c:v>Category 4 Prj</c:v>
                  </c:pt>
                  <c:pt idx="10">
                    <c:v>VBA Folders 4.1.2</c:v>
                  </c:pt>
                  <c:pt idx="11">
                    <c:v>VBA Folders 4.1.3</c:v>
                  </c:pt>
                  <c:pt idx="12">
                    <c:v>Testing P3 Cat 3.3</c:v>
                  </c:pt>
                  <c:pt idx="13">
                    <c:v>Testing P3 again</c:v>
                  </c:pt>
                  <c:pt idx="14">
                    <c:v>PowerBI </c:v>
                  </c:pt>
                  <c:pt idx="15">
                    <c:v>Ad Hoc requests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8-B021-498F-BDB4-BFDEE2D5575F}"/>
            </c:ext>
          </c:extLst>
        </c:ser>
        <c:ser>
          <c:idx val="10"/>
          <c:order val="9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00B050"/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59218C-EF00-4756-B6F1-54D483DD7F02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D899B1-E778-41D6-9B4A-D921F91843D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B021-498F-BDB4-BFDEE2D557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B021-498F-BDB4-BFDEE2D557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B021-498F-BDB4-BFDEE2D557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B021-498F-BDB4-BFDEE2D557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B021-498F-BDB4-BFDEE2D557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3E4D05-8B7A-4CA1-AE45-FC2B2D5A7249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21-498F-BDB4-BFDEE2D557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FC80DA-5E83-4615-880A-6A5BA209D8FB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21-498F-BDB4-BFDEE2D557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B021-498F-BDB4-BFDEE2D557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57D25F-1B6B-4195-9842-683AE7B9141E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21-498F-BDB4-BFDEE2D557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B021-498F-BDB4-BFDEE2D557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B021-498F-BDB4-BFDEE2D557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B021-498F-BDB4-BFDEE2D557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Sheet1!$N$2:$N$21</c:f>
              <c:numCache>
                <c:formatCode>General</c:formatCode>
                <c:ptCount val="20"/>
                <c:pt idx="0">
                  <c:v>#N/A</c:v>
                </c:pt>
                <c:pt idx="1">
                  <c:v>2.6349186662571822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0.47869185794060687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1.024085729741143</c:v>
                </c:pt>
                <c:pt idx="13">
                  <c:v>1.024085729741143</c:v>
                </c:pt>
                <c:pt idx="14">
                  <c:v>#N/A</c:v>
                </c:pt>
                <c:pt idx="15">
                  <c:v>1.129934006849876</c:v>
                </c:pt>
              </c:numCache>
            </c:numRef>
          </c:xVal>
          <c:yVal>
            <c:numRef>
              <c:f>Sheet1!$O$2:$O$21</c:f>
              <c:numCache>
                <c:formatCode>General</c:formatCode>
                <c:ptCount val="20"/>
                <c:pt idx="0">
                  <c:v>#N/A</c:v>
                </c:pt>
                <c:pt idx="1">
                  <c:v>0.41026178632744009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0.87798297542798054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1.7179197938613289</c:v>
                </c:pt>
                <c:pt idx="13">
                  <c:v>1.7179197938613289</c:v>
                </c:pt>
                <c:pt idx="14">
                  <c:v>#N/A</c:v>
                </c:pt>
                <c:pt idx="15">
                  <c:v>1.6502269965565901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Sheet1!$A$2:$A$21</c15:f>
                <c15:dlblRangeCache>
                  <c:ptCount val="20"/>
                  <c:pt idx="0">
                    <c:v>Testing VBA </c:v>
                  </c:pt>
                  <c:pt idx="1">
                    <c:v>ONE </c:v>
                  </c:pt>
                  <c:pt idx="2">
                    <c:v>CAT 1 TEST</c:v>
                  </c:pt>
                  <c:pt idx="3">
                    <c:v>Testing VBA 31 March</c:v>
                  </c:pt>
                  <c:pt idx="4">
                    <c:v>VBA Folders 2</c:v>
                  </c:pt>
                  <c:pt idx="5">
                    <c:v>VBA Folders 3</c:v>
                  </c:pt>
                  <c:pt idx="6">
                    <c:v>Testing P3 Cat 3</c:v>
                  </c:pt>
                  <c:pt idx="7">
                    <c:v>VBA Folders 4.1</c:v>
                  </c:pt>
                  <c:pt idx="8">
                    <c:v>Cat 4 Prj</c:v>
                  </c:pt>
                  <c:pt idx="9">
                    <c:v>Category 4 Prj</c:v>
                  </c:pt>
                  <c:pt idx="10">
                    <c:v>VBA Folders 4.1.2</c:v>
                  </c:pt>
                  <c:pt idx="11">
                    <c:v>VBA Folders 4.1.3</c:v>
                  </c:pt>
                  <c:pt idx="12">
                    <c:v>Testing P3 Cat 3.3</c:v>
                  </c:pt>
                  <c:pt idx="13">
                    <c:v>Testing P3 again</c:v>
                  </c:pt>
                  <c:pt idx="14">
                    <c:v>PowerBI </c:v>
                  </c:pt>
                  <c:pt idx="15">
                    <c:v>Ad Hoc requests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3-B021-498F-BDB4-BFDEE2D5575F}"/>
            </c:ext>
          </c:extLst>
        </c:ser>
        <c:ser>
          <c:idx val="6"/>
          <c:order val="10"/>
          <c:tx>
            <c:strRef>
              <c:f>Chart!$AB$48</c:f>
              <c:strCache>
                <c:ptCount val="1"/>
                <c:pt idx="0">
                  <c:v>Category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B021-498F-BDB4-BFDEE2D5575F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B021-498F-BDB4-BFDEE2D5575F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B021-498F-BDB4-BFDEE2D5575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C271F0E-EC74-4583-8812-8C066DD14498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A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A1F38C-EBFD-4763-811C-9CDFC748D99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3E789F-99DE-44CE-A3AC-75C6657B8734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0C0351-6BED-488A-9BE1-D7F477AE9185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Chart!$AG$49:$AG$52</c:f>
              <c:numCache>
                <c:formatCode>General</c:formatCode>
                <c:ptCount val="4"/>
                <c:pt idx="0">
                  <c:v>3.6683459870830988</c:v>
                </c:pt>
                <c:pt idx="1">
                  <c:v>3.2042939940024233</c:v>
                </c:pt>
                <c:pt idx="2">
                  <c:v>2.328485446884399</c:v>
                </c:pt>
                <c:pt idx="3">
                  <c:v>1.0524702982649556</c:v>
                </c:pt>
              </c:numCache>
            </c:numRef>
          </c:xVal>
          <c:yVal>
            <c:numRef>
              <c:f>Chart!$AH$49:$AH$52</c:f>
              <c:numCache>
                <c:formatCode>General</c:formatCode>
                <c:ptCount val="4"/>
                <c:pt idx="0">
                  <c:v>0.48294691121419087</c:v>
                </c:pt>
                <c:pt idx="1">
                  <c:v>1.8499999999999999</c:v>
                </c:pt>
                <c:pt idx="2">
                  <c:v>2.8754400573907919</c:v>
                </c:pt>
                <c:pt idx="3">
                  <c:v>3.3380093276187943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Chart!$AB$49:$AB$52</c15:f>
                <c15:dlblRangeCache>
                  <c:ptCount val="4"/>
                  <c:pt idx="0">
                    <c:v>1. Advanced Analytics</c:v>
                  </c:pt>
                  <c:pt idx="1">
                    <c:v>2. Standardize, simplify and enhance BI content</c:v>
                  </c:pt>
                  <c:pt idx="2">
                    <c:v>3. Simplify processes&amp;admin burden reduction</c:v>
                  </c:pt>
                  <c:pt idx="3">
                    <c:v>4. System maintanance execution and optimisation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B-B021-498F-BDB4-BFDEE2D55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504344"/>
        <c:axId val="326505128"/>
        <c:extLst/>
      </c:scatterChart>
      <c:valAx>
        <c:axId val="326504344"/>
        <c:scaling>
          <c:orientation val="maxMin"/>
          <c:max val="3.7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26505128"/>
        <c:crosses val="autoZero"/>
        <c:crossBetween val="midCat"/>
      </c:valAx>
      <c:valAx>
        <c:axId val="326505128"/>
        <c:scaling>
          <c:orientation val="maxMin"/>
          <c:max val="3.5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triangl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265043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734786</xdr:colOff>
      <xdr:row>52</xdr:row>
      <xdr:rowOff>122461</xdr:rowOff>
    </xdr:from>
    <xdr:to>
      <xdr:col>35</xdr:col>
      <xdr:colOff>117928</xdr:colOff>
      <xdr:row>110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381000</xdr:colOff>
      <xdr:row>7</xdr:row>
      <xdr:rowOff>63501</xdr:rowOff>
    </xdr:from>
    <xdr:to>
      <xdr:col>61</xdr:col>
      <xdr:colOff>381000</xdr:colOff>
      <xdr:row>94</xdr:row>
      <xdr:rowOff>119167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7</xdr:row>
          <xdr:rowOff>180975</xdr:rowOff>
        </xdr:from>
        <xdr:to>
          <xdr:col>27</xdr:col>
          <xdr:colOff>66675</xdr:colOff>
          <xdr:row>13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K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Project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13</xdr:row>
          <xdr:rowOff>152400</xdr:rowOff>
        </xdr:from>
        <xdr:to>
          <xdr:col>27</xdr:col>
          <xdr:colOff>95248</xdr:colOff>
          <xdr:row>18</xdr:row>
          <xdr:rowOff>161925</xdr:rowOff>
        </xdr:to>
        <xdr:sp macro="" textlink="">
          <xdr:nvSpPr>
            <xdr:cNvPr id="2053" name="Label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B30:AJ37" totalsRowShown="0">
  <autoFilter ref="AB30:AJ37" xr:uid="{00000000-0009-0000-0100-000002000000}"/>
  <tableColumns count="9">
    <tableColumn id="1" xr3:uid="{00000000-0010-0000-0000-000001000000}" name="Project"/>
    <tableColumn id="2" xr3:uid="{00000000-0010-0000-0000-000002000000}" name="Category"/>
    <tableColumn id="3" xr3:uid="{00000000-0010-0000-0000-000003000000}" name="Project Name"/>
    <tableColumn id="4" xr3:uid="{00000000-0010-0000-0000-000004000000}" name="Time"/>
    <tableColumn id="5" xr3:uid="{00000000-0010-0000-0000-000005000000}" name="r">
      <calculatedColumnFormula>2021-_xlfn.FLOOR.MATH(Table2[[#This Row],[Time]]/100)+1-(Table2[[#This Row],[Time]]-_xlfn.FLOOR.MATH(Table2[[#This Row],[Time]]/100)*100)/12</calculatedColumnFormula>
    </tableColumn>
    <tableColumn id="6" xr3:uid="{00000000-0010-0000-0000-000006000000}" name="a_frac (0 - 1)"/>
    <tableColumn id="7" xr3:uid="{00000000-0010-0000-0000-000007000000}" name="alpha">
      <calculatedColumnFormula>(INDEX($X$14:$X$17,MATCH(AC31,$V$14:$V$17,0))+AG31*INDEX($W$14:$W$17,MATCH(AC31,$V$14:$V$17,0)))/180*PI()</calculatedColumnFormula>
    </tableColumn>
    <tableColumn id="8" xr3:uid="{00000000-0010-0000-0000-000008000000}" name="x" dataDxfId="23">
      <calculatedColumnFormula>COS(Table2[[#This Row],[alpha]])*Table2[[#This Row],[r]]</calculatedColumnFormula>
    </tableColumn>
    <tableColumn id="9" xr3:uid="{00000000-0010-0000-0000-000009000000}" name="y" dataDxfId="22">
      <calculatedColumnFormula>SIN(Table2[[#This Row],[alpha]])*Table2[[#This Row],[r]]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Category" displayName="tbl_Category" ref="AB48:AI52" totalsRowShown="0">
  <autoFilter ref="AB48:AI52" xr:uid="{00000000-0009-0000-0100-000001000000}"/>
  <tableColumns count="8">
    <tableColumn id="1" xr3:uid="{00000000-0010-0000-0100-000001000000}" name="Category"/>
    <tableColumn id="2" xr3:uid="{00000000-0010-0000-0100-000002000000}" name="Category No"/>
    <tableColumn id="5" xr3:uid="{00000000-0010-0000-0100-000005000000}" name="r"/>
    <tableColumn id="6" xr3:uid="{00000000-0010-0000-0100-000006000000}" name="a_frac"/>
    <tableColumn id="7" xr3:uid="{00000000-0010-0000-0100-000007000000}" name="alpha">
      <calculatedColumnFormula>(INDEX(Table3[Start],MATCH(tbl_Category[[#This Row],[Category No]],Table3[Cat],0))+tbl_Category[[#This Row],[a_frac]]*INDEX(Table3[Angle],MATCH(tbl_Category[[#This Row],[Category No]],Table3[Cat],0)))/180*PI()</calculatedColumnFormula>
    </tableColumn>
    <tableColumn id="8" xr3:uid="{00000000-0010-0000-0100-000008000000}" name="x">
      <calculatedColumnFormula>COS(tbl_Category[[#This Row],[alpha]])*tbl_Category[[#This Row],[r]]</calculatedColumnFormula>
    </tableColumn>
    <tableColumn id="9" xr3:uid="{00000000-0010-0000-0100-000009000000}" name="y" dataDxfId="21">
      <calculatedColumnFormula>SIN(tbl_Category[[#This Row],[alpha]])*tbl_Category[[#This Row],[r]]</calculatedColumnFormula>
    </tableColumn>
    <tableColumn id="3" xr3:uid="{00000000-0010-0000-0100-000003000000}" name="Column1" dataDxfId="20">
      <calculatedColumnFormula>tbl_Category[[#This Row],[alpha]]*180/PI()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V13:Y17" totalsRowShown="0">
  <autoFilter ref="V13:Y17" xr:uid="{00000000-0009-0000-0100-000003000000}"/>
  <tableColumns count="4">
    <tableColumn id="1" xr3:uid="{00000000-0010-0000-0200-000001000000}" name="Cat"/>
    <tableColumn id="2" xr3:uid="{00000000-0010-0000-0200-000002000000}" name="Angle"/>
    <tableColumn id="3" xr3:uid="{00000000-0010-0000-0200-000003000000}" name="Start">
      <calculatedColumnFormula>Y13</calculatedColumnFormula>
    </tableColumn>
    <tableColumn id="4" xr3:uid="{00000000-0010-0000-0200-000004000000}" name="End">
      <calculatedColumnFormula>X14+W14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5" displayName="Table5" ref="AB7:AL12" totalsRowShown="0">
  <autoFilter ref="AB7:AL12" xr:uid="{00000000-0009-0000-0100-000005000000}"/>
  <tableColumns count="11">
    <tableColumn id="1" xr3:uid="{00000000-0010-0000-0300-000001000000}" name="Name"/>
    <tableColumn id="2" xr3:uid="{00000000-0010-0000-0300-000002000000}" name="x"/>
    <tableColumn id="3" xr3:uid="{00000000-0010-0000-0300-000003000000}" name="y"/>
    <tableColumn id="4" xr3:uid="{00000000-0010-0000-0300-000004000000}" name="xred" dataDxfId="19">
      <calculatedColumnFormula>IF(Table5[[#This Row],[Status Code]]=1,Table5[[#This Row],[x]],NA())</calculatedColumnFormula>
    </tableColumn>
    <tableColumn id="5" xr3:uid="{00000000-0010-0000-0300-000005000000}" name="yred" dataDxfId="18">
      <calculatedColumnFormula>IF(Table5[[#This Row],[Status Code]]=1,Table5[[#This Row],[y]],NA())</calculatedColumnFormula>
    </tableColumn>
    <tableColumn id="6" xr3:uid="{00000000-0010-0000-0300-000006000000}" name="xgreen" dataDxfId="17">
      <calculatedColumnFormula>IF(Table5[[#This Row],[Status Code]]=3,Table5[[#This Row],[x]],NA())</calculatedColumnFormula>
    </tableColumn>
    <tableColumn id="7" xr3:uid="{00000000-0010-0000-0300-000007000000}" name="ygreen" dataDxfId="16">
      <calculatedColumnFormula>IF(Table5[[#This Row],[Status Code]]=3,Table5[[#This Row],[y]],NA())</calculatedColumnFormula>
    </tableColumn>
    <tableColumn id="8" xr3:uid="{00000000-0010-0000-0300-000008000000}" name="xyellow" dataDxfId="15">
      <calculatedColumnFormula>IF(Table5[[#This Row],[Status Code]]=2,Table5[[#This Row],[x]],NA())</calculatedColumnFormula>
    </tableColumn>
    <tableColumn id="9" xr3:uid="{00000000-0010-0000-0300-000009000000}" name="yyellow" dataDxfId="14">
      <calculatedColumnFormula>IF(Table5[[#This Row],[Status Code]]=2,Table5[[#This Row],[y]],NA())</calculatedColumnFormula>
    </tableColumn>
    <tableColumn id="10" xr3:uid="{00000000-0010-0000-0300-00000A000000}" name="Status"/>
    <tableColumn id="11" xr3:uid="{00000000-0010-0000-0300-00000B000000}" name="Status Code" dataDxfId="13">
      <calculatedColumnFormula>IF(Table5[[#This Row],[Status]]="Red",1,IF(Table5[[#This Row],[Status]]="Amber",2,3))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A1:R17" totalsRowShown="0" headerRowDxfId="12" headerRowBorderDxfId="11" tableBorderDxfId="10" totalsRowBorderDxfId="9">
  <autoFilter ref="A1:R17" xr:uid="{00000000-0009-0000-0100-000004000000}"/>
  <tableColumns count="18">
    <tableColumn id="1" xr3:uid="{00000000-0010-0000-0400-000001000000}" name="Project"/>
    <tableColumn id="2" xr3:uid="{00000000-0010-0000-0400-000002000000}" name="Category" dataDxfId="0">
      <calculatedColumnFormula>IF(Table4[[#This Row],[Cat]]="1. Advanced Analytics",1,IF(Table4[[#This Row],[Cat]]="2. Standardize, simplify and enhance BI content",2,IF(Table4[[#This Row],[Cat]]="3. Simplify processes&amp;admin burden reduction",3,4)))</calculatedColumnFormula>
    </tableColumn>
    <tableColumn id="3" xr3:uid="{00000000-0010-0000-0400-000003000000}" name="Project Status">
      <calculatedColumnFormula>IF(Table4[[#This Row],[Status]]="Red",1,IF(Table4[[#This Row],[Status]]="Amber",2,3))</calculatedColumnFormula>
    </tableColumn>
    <tableColumn id="4" xr3:uid="{00000000-0010-0000-0400-000004000000}" name="Time"/>
    <tableColumn id="5" xr3:uid="{00000000-0010-0000-0400-000005000000}" name="r">
      <calculatedColumnFormula>2021-_xlfn.FLOOR.MATH(Table4[[#This Row],[Time]]/100)+1-(Table4[[#This Row],[Time]]-_xlfn.FLOOR.MATH(Table4[[#This Row],[Time]]/100)*100)/12</calculatedColumnFormula>
    </tableColumn>
    <tableColumn id="6" xr3:uid="{00000000-0010-0000-0400-000006000000}" name="a_frac (0 - 1)"/>
    <tableColumn id="7" xr3:uid="{00000000-0010-0000-0400-000007000000}" name="alpha" dataDxfId="8">
      <calculatedColumnFormula>(INDEX(Chart!$X$14:$X$17,MATCH(Table4[[#This Row],[Category]],Chart!$V$14:$V$17,0))+Table4[[#This Row],[a_frac (0 - 1)]]*INDEX(Chart!$W$14:$W$17,MATCH(Table4[[#This Row],[Category]],Chart!$V$14:$V$17,0)))/180*PI()</calculatedColumnFormula>
    </tableColumn>
    <tableColumn id="8" xr3:uid="{00000000-0010-0000-0400-000008000000}" name="x">
      <calculatedColumnFormula>COS(Table4[[#This Row],[alpha]])*Table4[[#This Row],[r]]</calculatedColumnFormula>
    </tableColumn>
    <tableColumn id="9" xr3:uid="{00000000-0010-0000-0400-000009000000}" name="y">
      <calculatedColumnFormula>SIN(Table4[[#This Row],[alpha]])*Table4[[#This Row],[r]]</calculatedColumnFormula>
    </tableColumn>
    <tableColumn id="10" xr3:uid="{00000000-0010-0000-0400-00000A000000}" name="Xcond1">
      <calculatedColumnFormula>IF(Table4[[#This Row],[Project Status]]=1,Table4[[#This Row],[x]],NA())</calculatedColumnFormula>
    </tableColumn>
    <tableColumn id="11" xr3:uid="{00000000-0010-0000-0400-00000B000000}" name="ycond2">
      <calculatedColumnFormula>IF(Table4[[#This Row],[Project Status]]=1,Table4[[#This Row],[y]],NA())</calculatedColumnFormula>
    </tableColumn>
    <tableColumn id="12" xr3:uid="{00000000-0010-0000-0400-00000C000000}" name="xcond22" dataDxfId="7">
      <calculatedColumnFormula>IF(Table4[[#This Row],[Project Status]]=2,Table4[[#This Row],[x]],NA())</calculatedColumnFormula>
    </tableColumn>
    <tableColumn id="13" xr3:uid="{00000000-0010-0000-0400-00000D000000}" name="ycond22" dataDxfId="6">
      <calculatedColumnFormula>IF(Table4[[#This Row],[Project Status]]=2,Table4[[#This Row],[y]],NA())</calculatedColumnFormula>
    </tableColumn>
    <tableColumn id="14" xr3:uid="{00000000-0010-0000-0400-00000E000000}" name="xcond3" dataDxfId="5">
      <calculatedColumnFormula>IF(Table4[[#This Row],[Project Status]]=3,Table4[[#This Row],[x]],NA())</calculatedColumnFormula>
    </tableColumn>
    <tableColumn id="15" xr3:uid="{00000000-0010-0000-0400-00000F000000}" name="ycond3" dataDxfId="4">
      <calculatedColumnFormula>IF(Table4[[#This Row],[Project Status]]=3,Table4[[#This Row],[y]],NA())</calculatedColumnFormula>
    </tableColumn>
    <tableColumn id="19" xr3:uid="{00000000-0010-0000-0400-000013000000}" name="Cat" dataDxfId="3"/>
    <tableColumn id="17" xr3:uid="{00000000-0010-0000-0400-000011000000}" name="Respomsible" dataDxfId="2"/>
    <tableColumn id="20" xr3:uid="{00000000-0010-0000-0400-000014000000}" name="Statu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94"/>
  <sheetViews>
    <sheetView topLeftCell="O1" zoomScale="70" zoomScaleNormal="70" workbookViewId="0">
      <selection activeCell="AB48" sqref="AB48:AI54"/>
    </sheetView>
  </sheetViews>
  <sheetFormatPr defaultRowHeight="15"/>
  <cols>
    <col min="25" max="25" width="17.5703125" customWidth="1"/>
    <col min="26" max="26" width="13.7109375" customWidth="1"/>
    <col min="27" max="27" width="18.5703125" customWidth="1"/>
    <col min="28" max="28" width="42.42578125" bestFit="1" customWidth="1"/>
    <col min="29" max="29" width="15.42578125" bestFit="1" customWidth="1"/>
    <col min="30" max="30" width="18" customWidth="1"/>
    <col min="31" max="31" width="13.28515625" customWidth="1"/>
    <col min="32" max="32" width="14.85546875" bestFit="1" customWidth="1"/>
    <col min="33" max="33" width="13.28515625" customWidth="1"/>
    <col min="34" max="36" width="14.85546875" bestFit="1" customWidth="1"/>
  </cols>
  <sheetData>
    <row r="1" spans="1:38">
      <c r="X1" t="s">
        <v>14</v>
      </c>
      <c r="Y1">
        <v>0.1</v>
      </c>
    </row>
    <row r="2" spans="1:38" ht="30">
      <c r="F2" s="1" t="s">
        <v>37</v>
      </c>
      <c r="H2" s="1" t="s">
        <v>36</v>
      </c>
      <c r="J2" s="1" t="s">
        <v>38</v>
      </c>
      <c r="X2" t="s">
        <v>13</v>
      </c>
      <c r="Y2">
        <v>3.2</v>
      </c>
    </row>
    <row r="3" spans="1:38">
      <c r="B3">
        <v>90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R3" t="s">
        <v>7</v>
      </c>
      <c r="S3" t="s">
        <v>5</v>
      </c>
      <c r="T3" t="s">
        <v>10</v>
      </c>
      <c r="U3" t="s">
        <v>11</v>
      </c>
      <c r="W3" t="s">
        <v>0</v>
      </c>
      <c r="X3" t="s">
        <v>15</v>
      </c>
      <c r="Y3" t="s">
        <v>12</v>
      </c>
      <c r="Z3" t="s">
        <v>6</v>
      </c>
      <c r="AG3" t="s">
        <v>51</v>
      </c>
    </row>
    <row r="4" spans="1:38">
      <c r="A4" t="s">
        <v>4</v>
      </c>
      <c r="B4" t="s">
        <v>3</v>
      </c>
      <c r="C4" t="s">
        <v>0</v>
      </c>
      <c r="D4" t="s">
        <v>1</v>
      </c>
      <c r="F4">
        <v>2019</v>
      </c>
      <c r="H4">
        <v>2020</v>
      </c>
      <c r="J4">
        <v>2021</v>
      </c>
      <c r="R4">
        <v>1</v>
      </c>
      <c r="S4">
        <v>20</v>
      </c>
      <c r="T4">
        <v>0</v>
      </c>
      <c r="U4">
        <v>15</v>
      </c>
      <c r="V4">
        <f>U4/180*PI()</f>
        <v>0.26179938779914941</v>
      </c>
      <c r="W4">
        <f>Y1*COS($V4)</f>
        <v>9.659258262890684E-2</v>
      </c>
      <c r="X4">
        <f>Y1*SIN(V4)</f>
        <v>2.5881904510252074E-2</v>
      </c>
      <c r="AG4" t="s">
        <v>52</v>
      </c>
    </row>
    <row r="5" spans="1:38">
      <c r="A5">
        <f>B5/180*PI()</f>
        <v>0</v>
      </c>
      <c r="B5">
        <v>0</v>
      </c>
      <c r="C5">
        <f>COS(A5)</f>
        <v>1</v>
      </c>
      <c r="D5">
        <f>SIN(A5)</f>
        <v>0</v>
      </c>
      <c r="F5" s="7">
        <f>($J$4-F$4+1)*$C5</f>
        <v>3</v>
      </c>
      <c r="G5" s="7">
        <f>($J$4-F$4+1)*$D5</f>
        <v>0</v>
      </c>
      <c r="H5" s="7">
        <f t="shared" ref="H5:H68" si="0">($J$4-H$4+1)*$C5</f>
        <v>2</v>
      </c>
      <c r="I5" s="7">
        <f>($J$4-H$4+1)*$D5</f>
        <v>0</v>
      </c>
      <c r="J5" s="7">
        <f t="shared" ref="J5:J68" si="1">($J$4-J$4+1)*$C5</f>
        <v>1</v>
      </c>
      <c r="K5" s="7">
        <f>($J$4-J$4+1)*$D5</f>
        <v>0</v>
      </c>
      <c r="W5">
        <f>$Y$2*COS(V4)</f>
        <v>3.0909626441250189</v>
      </c>
      <c r="X5">
        <f>Y2*SIN(V4)</f>
        <v>0.82822094432806637</v>
      </c>
      <c r="AG5" t="s">
        <v>50</v>
      </c>
    </row>
    <row r="6" spans="1:38">
      <c r="A6">
        <f t="shared" ref="A6:A68" si="2">B6/180*PI()</f>
        <v>1.7453292519943295E-2</v>
      </c>
      <c r="B6">
        <v>1</v>
      </c>
      <c r="C6">
        <f t="shared" ref="C6:C68" si="3">COS(A6)</f>
        <v>0.99984769515639127</v>
      </c>
      <c r="D6">
        <f t="shared" ref="D6:D68" si="4">SIN(A6)</f>
        <v>1.7452406437283512E-2</v>
      </c>
      <c r="F6" s="7">
        <f t="shared" ref="F6:F69" si="5">($J$4-F$4+1)*$C6</f>
        <v>2.999543085469174</v>
      </c>
      <c r="G6" s="7">
        <f t="shared" ref="G6:G69" si="6">($J$4-F$4+1)*$D6</f>
        <v>5.2357219311850535E-2</v>
      </c>
      <c r="H6" s="7">
        <f t="shared" si="0"/>
        <v>1.9996953903127825</v>
      </c>
      <c r="I6" s="7">
        <f t="shared" ref="I6:I69" si="7">($J$4-H$4+1)*$D6</f>
        <v>3.4904812874567023E-2</v>
      </c>
      <c r="J6" s="7">
        <f t="shared" si="1"/>
        <v>0.99984769515639127</v>
      </c>
      <c r="K6" s="7">
        <f t="shared" ref="K6:K69" si="8">($J$4-J$4+1)*$D6</f>
        <v>1.7452406437283512E-2</v>
      </c>
      <c r="R6">
        <v>2</v>
      </c>
      <c r="S6">
        <v>40</v>
      </c>
      <c r="T6">
        <f>U4</f>
        <v>15</v>
      </c>
      <c r="U6">
        <v>55</v>
      </c>
      <c r="V6">
        <f t="shared" ref="V6" si="9">U6/180*PI()</f>
        <v>0.95993108859688125</v>
      </c>
      <c r="W6">
        <f>Y1*COS($V6)</f>
        <v>5.7357643635104621E-2</v>
      </c>
      <c r="X6">
        <f>Y1*SIN(V6)</f>
        <v>8.1915204428899185E-2</v>
      </c>
      <c r="Y6">
        <f t="shared" ref="Y6" si="10">$Y$2*COS(V6)</f>
        <v>1.8354445963233479</v>
      </c>
      <c r="Z6">
        <f>Y2*SIN(V6)</f>
        <v>2.6212865417247739</v>
      </c>
    </row>
    <row r="7" spans="1:38">
      <c r="A7">
        <f t="shared" si="2"/>
        <v>3.4906585039886591E-2</v>
      </c>
      <c r="B7">
        <v>2</v>
      </c>
      <c r="C7">
        <f t="shared" si="3"/>
        <v>0.99939082701909576</v>
      </c>
      <c r="D7">
        <f t="shared" si="4"/>
        <v>3.4899496702500969E-2</v>
      </c>
      <c r="F7" s="7">
        <f t="shared" si="5"/>
        <v>2.9981724810572872</v>
      </c>
      <c r="G7" s="7">
        <f t="shared" si="6"/>
        <v>0.1046984901075029</v>
      </c>
      <c r="H7" s="7">
        <f t="shared" si="0"/>
        <v>1.9987816540381915</v>
      </c>
      <c r="I7" s="7">
        <f t="shared" si="7"/>
        <v>6.9798993405001938E-2</v>
      </c>
      <c r="J7" s="7">
        <f t="shared" si="1"/>
        <v>0.99939082701909576</v>
      </c>
      <c r="K7" s="7">
        <f t="shared" si="8"/>
        <v>3.4899496702500969E-2</v>
      </c>
      <c r="W7">
        <v>2.6212865417247739</v>
      </c>
      <c r="X7">
        <v>1.8354445963233474</v>
      </c>
      <c r="AB7" t="s">
        <v>78</v>
      </c>
      <c r="AC7" t="s">
        <v>0</v>
      </c>
      <c r="AD7" t="s">
        <v>1</v>
      </c>
      <c r="AE7" t="s">
        <v>79</v>
      </c>
      <c r="AF7" t="s">
        <v>80</v>
      </c>
      <c r="AG7" t="s">
        <v>81</v>
      </c>
      <c r="AH7" t="s">
        <v>82</v>
      </c>
      <c r="AI7" t="s">
        <v>83</v>
      </c>
      <c r="AJ7" t="s">
        <v>85</v>
      </c>
      <c r="AK7" t="s">
        <v>49</v>
      </c>
      <c r="AL7" t="s">
        <v>84</v>
      </c>
    </row>
    <row r="8" spans="1:38">
      <c r="A8">
        <f t="shared" si="2"/>
        <v>5.2359877559829883E-2</v>
      </c>
      <c r="B8">
        <v>3</v>
      </c>
      <c r="C8">
        <f t="shared" si="3"/>
        <v>0.99862953475457383</v>
      </c>
      <c r="D8">
        <f t="shared" si="4"/>
        <v>5.2335956242943828E-2</v>
      </c>
      <c r="F8" s="7">
        <f t="shared" si="5"/>
        <v>2.9958886042637216</v>
      </c>
      <c r="G8" s="7">
        <f t="shared" si="6"/>
        <v>0.15700786872883149</v>
      </c>
      <c r="H8" s="7">
        <f t="shared" si="0"/>
        <v>1.9972590695091477</v>
      </c>
      <c r="I8" s="7">
        <f t="shared" si="7"/>
        <v>0.10467191248588766</v>
      </c>
      <c r="J8" s="7">
        <f t="shared" si="1"/>
        <v>0.99862953475457383</v>
      </c>
      <c r="K8" s="7">
        <f t="shared" si="8"/>
        <v>5.2335956242943828E-2</v>
      </c>
      <c r="R8">
        <v>3</v>
      </c>
      <c r="S8">
        <v>20</v>
      </c>
      <c r="T8">
        <f>U6</f>
        <v>55</v>
      </c>
      <c r="U8">
        <v>80</v>
      </c>
      <c r="V8">
        <f>U8/180*PI()</f>
        <v>1.3962634015954636</v>
      </c>
      <c r="W8">
        <f>Y1*COS($V8)</f>
        <v>1.7364817766693044E-2</v>
      </c>
      <c r="X8">
        <f>Y1*SIN(V8)</f>
        <v>9.8480775301220805E-2</v>
      </c>
      <c r="Y8">
        <f>$Y$2*COS(V8)</f>
        <v>0.55567416853417739</v>
      </c>
      <c r="Z8">
        <f>Y2*SIN(V8)</f>
        <v>3.1513848096390658</v>
      </c>
      <c r="AB8" t="s">
        <v>69</v>
      </c>
      <c r="AC8">
        <v>3.4971568265563691</v>
      </c>
      <c r="AD8">
        <v>2.85</v>
      </c>
      <c r="AE8" t="e">
        <f>IF(Table5[[#This Row],[Status Code]]=1,Table5[[#This Row],[x]],NA())</f>
        <v>#N/A</v>
      </c>
      <c r="AF8" t="e">
        <f>IF(Table5[[#This Row],[Status Code]]=1,Table5[[#This Row],[y]],NA())</f>
        <v>#N/A</v>
      </c>
      <c r="AG8">
        <f>IF(Table5[[#This Row],[Status Code]]=3,Table5[[#This Row],[x]],NA())</f>
        <v>3.4971568265563691</v>
      </c>
      <c r="AH8">
        <f>IF(Table5[[#This Row],[Status Code]]=3,Table5[[#This Row],[y]],NA())</f>
        <v>2.85</v>
      </c>
      <c r="AI8" t="e">
        <f>IF(Table5[[#This Row],[Status Code]]=2,Table5[[#This Row],[x]],NA())</f>
        <v>#N/A</v>
      </c>
      <c r="AJ8" t="e">
        <f>IF(Table5[[#This Row],[Status Code]]=2,Table5[[#This Row],[y]],NA())</f>
        <v>#N/A</v>
      </c>
      <c r="AL8">
        <f>IF(Table5[[#This Row],[Status]]="Red",1,IF(Table5[[#This Row],[Status]]="Amber",2,3))</f>
        <v>3</v>
      </c>
    </row>
    <row r="9" spans="1:38">
      <c r="A9">
        <f t="shared" si="2"/>
        <v>6.9813170079773182E-2</v>
      </c>
      <c r="B9">
        <v>4</v>
      </c>
      <c r="C9">
        <f t="shared" si="3"/>
        <v>0.9975640502598242</v>
      </c>
      <c r="D9">
        <f t="shared" si="4"/>
        <v>6.9756473744125302E-2</v>
      </c>
      <c r="F9" s="7">
        <f t="shared" si="5"/>
        <v>2.9926921507794724</v>
      </c>
      <c r="G9" s="7">
        <f t="shared" si="6"/>
        <v>0.20926942123237591</v>
      </c>
      <c r="H9" s="7">
        <f t="shared" si="0"/>
        <v>1.9951281005196484</v>
      </c>
      <c r="I9" s="7">
        <f t="shared" si="7"/>
        <v>0.1395129474882506</v>
      </c>
      <c r="J9" s="7">
        <f t="shared" si="1"/>
        <v>0.9975640502598242</v>
      </c>
      <c r="K9" s="7">
        <f t="shared" si="8"/>
        <v>6.9756473744125302E-2</v>
      </c>
      <c r="R9">
        <v>4</v>
      </c>
      <c r="S9">
        <v>20</v>
      </c>
      <c r="T9">
        <f>U8</f>
        <v>80</v>
      </c>
      <c r="U9">
        <v>90</v>
      </c>
      <c r="V9">
        <f>U9/180*PI()</f>
        <v>1.5707963267948966</v>
      </c>
      <c r="W9">
        <v>1.8354445963233479</v>
      </c>
      <c r="X9">
        <v>2.6212865417247739</v>
      </c>
      <c r="AB9" t="s">
        <v>70</v>
      </c>
      <c r="AC9">
        <v>3.4971568265563691</v>
      </c>
      <c r="AD9">
        <v>2.89</v>
      </c>
      <c r="AE9" t="e">
        <f>IF(Table5[[#This Row],[Status Code]]=1,Table5[[#This Row],[x]],NA())</f>
        <v>#N/A</v>
      </c>
      <c r="AF9" t="e">
        <f>IF(Table5[[#This Row],[Status Code]]=1,Table5[[#This Row],[y]],NA())</f>
        <v>#N/A</v>
      </c>
      <c r="AG9">
        <f>IF(Table5[[#This Row],[Status Code]]=3,Table5[[#This Row],[x]],NA())</f>
        <v>3.4971568265563691</v>
      </c>
      <c r="AH9">
        <f>IF(Table5[[#This Row],[Status Code]]=3,Table5[[#This Row],[y]],NA())</f>
        <v>2.89</v>
      </c>
      <c r="AI9" t="e">
        <f>IF(Table5[[#This Row],[Status Code]]=2,Table5[[#This Row],[x]],NA())</f>
        <v>#N/A</v>
      </c>
      <c r="AJ9" t="e">
        <f>IF(Table5[[#This Row],[Status Code]]=2,Table5[[#This Row],[y]],NA())</f>
        <v>#N/A</v>
      </c>
      <c r="AL9">
        <f>IF(Table5[[#This Row],[Status]]="Red",1,IF(Table5[[#This Row],[Status]]="Amber",2,3))</f>
        <v>3</v>
      </c>
    </row>
    <row r="10" spans="1:38">
      <c r="A10">
        <f t="shared" si="2"/>
        <v>8.7266462599716474E-2</v>
      </c>
      <c r="B10">
        <v>5</v>
      </c>
      <c r="C10">
        <f t="shared" si="3"/>
        <v>0.99619469809174555</v>
      </c>
      <c r="D10">
        <f t="shared" si="4"/>
        <v>8.7155742747658166E-2</v>
      </c>
      <c r="F10" s="7">
        <f t="shared" si="5"/>
        <v>2.9885840942752369</v>
      </c>
      <c r="G10" s="7">
        <f t="shared" si="6"/>
        <v>0.26146722824297453</v>
      </c>
      <c r="H10" s="7">
        <f t="shared" si="0"/>
        <v>1.9923893961834911</v>
      </c>
      <c r="I10" s="7">
        <f t="shared" si="7"/>
        <v>0.17431148549531633</v>
      </c>
      <c r="J10" s="7">
        <f t="shared" si="1"/>
        <v>0.99619469809174555</v>
      </c>
      <c r="K10" s="7">
        <f t="shared" si="8"/>
        <v>8.7155742747658166E-2</v>
      </c>
      <c r="AB10" t="s">
        <v>71</v>
      </c>
      <c r="AC10">
        <v>3.4971568265563691</v>
      </c>
      <c r="AD10">
        <v>2.93</v>
      </c>
      <c r="AE10" t="e">
        <f>IF(Table5[[#This Row],[Status Code]]=1,Table5[[#This Row],[x]],NA())</f>
        <v>#N/A</v>
      </c>
      <c r="AF10" t="e">
        <f>IF(Table5[[#This Row],[Status Code]]=1,Table5[[#This Row],[y]],NA())</f>
        <v>#N/A</v>
      </c>
      <c r="AG10">
        <f>IF(Table5[[#This Row],[Status Code]]=3,Table5[[#This Row],[x]],NA())</f>
        <v>3.4971568265563691</v>
      </c>
      <c r="AH10">
        <f>IF(Table5[[#This Row],[Status Code]]=3,Table5[[#This Row],[y]],NA())</f>
        <v>2.93</v>
      </c>
      <c r="AI10" t="e">
        <f>IF(Table5[[#This Row],[Status Code]]=2,Table5[[#This Row],[x]],NA())</f>
        <v>#N/A</v>
      </c>
      <c r="AJ10" t="e">
        <f>IF(Table5[[#This Row],[Status Code]]=2,Table5[[#This Row],[y]],NA())</f>
        <v>#N/A</v>
      </c>
      <c r="AL10">
        <f>IF(Table5[[#This Row],[Status]]="Red",1,IF(Table5[[#This Row],[Status]]="Amber",2,3))</f>
        <v>3</v>
      </c>
    </row>
    <row r="11" spans="1:38">
      <c r="A11">
        <f t="shared" si="2"/>
        <v>0.10471975511965977</v>
      </c>
      <c r="B11">
        <v>6</v>
      </c>
      <c r="C11">
        <f t="shared" si="3"/>
        <v>0.99452189536827329</v>
      </c>
      <c r="D11">
        <f t="shared" si="4"/>
        <v>0.10452846326765346</v>
      </c>
      <c r="F11" s="7">
        <f t="shared" si="5"/>
        <v>2.9835656861048196</v>
      </c>
      <c r="G11" s="7">
        <f t="shared" si="6"/>
        <v>0.31358538980296036</v>
      </c>
      <c r="H11" s="7">
        <f t="shared" si="0"/>
        <v>1.9890437907365466</v>
      </c>
      <c r="I11" s="7">
        <f t="shared" si="7"/>
        <v>0.20905692653530691</v>
      </c>
      <c r="J11" s="7">
        <f t="shared" si="1"/>
        <v>0.99452189536827329</v>
      </c>
      <c r="K11" s="7">
        <f t="shared" si="8"/>
        <v>0.10452846326765346</v>
      </c>
      <c r="AB11" t="s">
        <v>72</v>
      </c>
      <c r="AC11">
        <v>3.4971568265563691</v>
      </c>
      <c r="AD11">
        <v>2.97</v>
      </c>
      <c r="AE11" t="e">
        <f>IF(Table5[[#This Row],[Status Code]]=1,Table5[[#This Row],[x]],NA())</f>
        <v>#N/A</v>
      </c>
      <c r="AF11" t="e">
        <f>IF(Table5[[#This Row],[Status Code]]=1,Table5[[#This Row],[y]],NA())</f>
        <v>#N/A</v>
      </c>
      <c r="AG11">
        <f>IF(Table5[[#This Row],[Status Code]]=3,Table5[[#This Row],[x]],NA())</f>
        <v>3.4971568265563691</v>
      </c>
      <c r="AH11">
        <f>IF(Table5[[#This Row],[Status Code]]=3,Table5[[#This Row],[y]],NA())</f>
        <v>2.97</v>
      </c>
      <c r="AI11" t="e">
        <f>IF(Table5[[#This Row],[Status Code]]=2,Table5[[#This Row],[x]],NA())</f>
        <v>#N/A</v>
      </c>
      <c r="AJ11" t="e">
        <f>IF(Table5[[#This Row],[Status Code]]=2,Table5[[#This Row],[y]],NA())</f>
        <v>#N/A</v>
      </c>
      <c r="AL11">
        <f>IF(Table5[[#This Row],[Status]]="Red",1,IF(Table5[[#This Row],[Status]]="Amber",2,3))</f>
        <v>3</v>
      </c>
    </row>
    <row r="12" spans="1:38">
      <c r="A12">
        <f t="shared" si="2"/>
        <v>0.12217304763960307</v>
      </c>
      <c r="B12">
        <v>7</v>
      </c>
      <c r="C12">
        <f t="shared" si="3"/>
        <v>0.99254615164132198</v>
      </c>
      <c r="D12">
        <f t="shared" si="4"/>
        <v>0.12186934340514748</v>
      </c>
      <c r="F12" s="7">
        <f t="shared" si="5"/>
        <v>2.9776384549239658</v>
      </c>
      <c r="G12" s="7">
        <f t="shared" si="6"/>
        <v>0.36560803021544241</v>
      </c>
      <c r="H12" s="7">
        <f t="shared" si="0"/>
        <v>1.985092303282644</v>
      </c>
      <c r="I12" s="7">
        <f t="shared" si="7"/>
        <v>0.24373868681029495</v>
      </c>
      <c r="J12" s="7">
        <f t="shared" si="1"/>
        <v>0.99254615164132198</v>
      </c>
      <c r="K12" s="7">
        <f t="shared" si="8"/>
        <v>0.12186934340514748</v>
      </c>
      <c r="AE12" s="5" t="e">
        <f>IF(Table5[[#This Row],[Status Code]]=1,Table5[[#This Row],[x]],NA())</f>
        <v>#N/A</v>
      </c>
      <c r="AF12" s="5" t="e">
        <f>IF(Table5[[#This Row],[Status Code]]=1,Table5[[#This Row],[y]],NA())</f>
        <v>#N/A</v>
      </c>
      <c r="AG12" s="5">
        <f>IF(Table5[[#This Row],[Status Code]]=3,Table5[[#This Row],[x]],NA())</f>
        <v>0</v>
      </c>
      <c r="AH12" s="5">
        <f>IF(Table5[[#This Row],[Status Code]]=3,Table5[[#This Row],[y]],NA())</f>
        <v>0</v>
      </c>
      <c r="AI12" s="5" t="e">
        <f>IF(Table5[[#This Row],[Status Code]]=2,Table5[[#This Row],[x]],NA())</f>
        <v>#N/A</v>
      </c>
      <c r="AJ12" s="5" t="e">
        <f>IF(Table5[[#This Row],[Status Code]]=2,Table5[[#This Row],[y]],NA())</f>
        <v>#N/A</v>
      </c>
      <c r="AL12" s="5">
        <f>IF(Table5[[#This Row],[Status]]="Red",1,IF(Table5[[#This Row],[Status]]="Amber",2,3))</f>
        <v>3</v>
      </c>
    </row>
    <row r="13" spans="1:38">
      <c r="A13">
        <f t="shared" si="2"/>
        <v>0.13962634015954636</v>
      </c>
      <c r="B13">
        <v>8</v>
      </c>
      <c r="C13">
        <f t="shared" si="3"/>
        <v>0.99026806874157036</v>
      </c>
      <c r="D13">
        <f t="shared" si="4"/>
        <v>0.13917310096006544</v>
      </c>
      <c r="F13" s="7">
        <f t="shared" si="5"/>
        <v>2.9708042062247113</v>
      </c>
      <c r="G13" s="7">
        <f t="shared" si="6"/>
        <v>0.41751930288019634</v>
      </c>
      <c r="H13" s="7">
        <f t="shared" si="0"/>
        <v>1.9805361374831407</v>
      </c>
      <c r="I13" s="7">
        <f t="shared" si="7"/>
        <v>0.27834620192013088</v>
      </c>
      <c r="J13" s="7">
        <f t="shared" si="1"/>
        <v>0.99026806874157036</v>
      </c>
      <c r="K13" s="7">
        <f t="shared" si="8"/>
        <v>0.13917310096006544</v>
      </c>
      <c r="V13" t="s">
        <v>7</v>
      </c>
      <c r="W13" t="s">
        <v>5</v>
      </c>
      <c r="X13" t="s">
        <v>8</v>
      </c>
      <c r="Y13" t="s">
        <v>9</v>
      </c>
      <c r="Z13" t="s">
        <v>24</v>
      </c>
      <c r="AA13" t="s">
        <v>25</v>
      </c>
    </row>
    <row r="14" spans="1:38">
      <c r="A14">
        <f t="shared" si="2"/>
        <v>0.15707963267948966</v>
      </c>
      <c r="B14">
        <v>9</v>
      </c>
      <c r="C14">
        <f t="shared" si="3"/>
        <v>0.98768834059513777</v>
      </c>
      <c r="D14">
        <f t="shared" si="4"/>
        <v>0.15643446504023087</v>
      </c>
      <c r="F14" s="7">
        <f t="shared" si="5"/>
        <v>2.9630650217854133</v>
      </c>
      <c r="G14" s="7">
        <f t="shared" si="6"/>
        <v>0.46930339512069263</v>
      </c>
      <c r="H14" s="7">
        <f t="shared" si="0"/>
        <v>1.9753766811902755</v>
      </c>
      <c r="I14" s="7">
        <f t="shared" si="7"/>
        <v>0.31286893008046174</v>
      </c>
      <c r="J14" s="7">
        <f t="shared" si="1"/>
        <v>0.98768834059513777</v>
      </c>
      <c r="K14" s="7">
        <f t="shared" si="8"/>
        <v>0.15643446504023087</v>
      </c>
      <c r="V14">
        <v>1</v>
      </c>
      <c r="W14">
        <v>15</v>
      </c>
      <c r="X14">
        <f>0</f>
        <v>0</v>
      </c>
      <c r="Y14">
        <f>X14+W14</f>
        <v>15</v>
      </c>
      <c r="Z14">
        <f>Y14/180*PI()</f>
        <v>0.26179938779914941</v>
      </c>
    </row>
    <row r="15" spans="1:38">
      <c r="A15">
        <f t="shared" si="2"/>
        <v>0.17453292519943295</v>
      </c>
      <c r="B15">
        <v>10</v>
      </c>
      <c r="C15">
        <f t="shared" si="3"/>
        <v>0.98480775301220802</v>
      </c>
      <c r="D15">
        <f t="shared" si="4"/>
        <v>0.17364817766693033</v>
      </c>
      <c r="F15" s="7">
        <f t="shared" si="5"/>
        <v>2.9544232590366239</v>
      </c>
      <c r="G15" s="7">
        <f t="shared" si="6"/>
        <v>0.52094453300079102</v>
      </c>
      <c r="H15" s="7">
        <f t="shared" si="0"/>
        <v>1.969615506024416</v>
      </c>
      <c r="I15" s="7">
        <f t="shared" si="7"/>
        <v>0.34729635533386066</v>
      </c>
      <c r="J15" s="7">
        <f t="shared" si="1"/>
        <v>0.98480775301220802</v>
      </c>
      <c r="K15" s="7">
        <f t="shared" si="8"/>
        <v>0.17364817766693033</v>
      </c>
      <c r="V15">
        <v>2</v>
      </c>
      <c r="W15">
        <v>30</v>
      </c>
      <c r="X15">
        <f>Y14</f>
        <v>15</v>
      </c>
      <c r="Y15">
        <f t="shared" ref="Y15" si="11">X15+W15</f>
        <v>45</v>
      </c>
      <c r="Z15">
        <f t="shared" ref="Z15:Z16" si="12">Y15/180*PI()</f>
        <v>0.78539816339744828</v>
      </c>
    </row>
    <row r="16" spans="1:38">
      <c r="A16">
        <f t="shared" si="2"/>
        <v>0.19198621771937624</v>
      </c>
      <c r="B16">
        <v>11</v>
      </c>
      <c r="C16">
        <f t="shared" si="3"/>
        <v>0.98162718344766398</v>
      </c>
      <c r="D16">
        <f t="shared" si="4"/>
        <v>0.1908089953765448</v>
      </c>
      <c r="F16" s="7">
        <f t="shared" si="5"/>
        <v>2.9448815503429921</v>
      </c>
      <c r="G16" s="7">
        <f t="shared" si="6"/>
        <v>0.57242698612963439</v>
      </c>
      <c r="H16" s="7">
        <f t="shared" si="0"/>
        <v>1.963254366895328</v>
      </c>
      <c r="I16" s="7">
        <f t="shared" si="7"/>
        <v>0.38161799075308961</v>
      </c>
      <c r="J16" s="7">
        <f t="shared" si="1"/>
        <v>0.98162718344766398</v>
      </c>
      <c r="K16" s="7">
        <f t="shared" si="8"/>
        <v>0.1908089953765448</v>
      </c>
      <c r="V16">
        <v>3</v>
      </c>
      <c r="W16">
        <v>20</v>
      </c>
      <c r="X16">
        <f t="shared" ref="X16:X17" si="13">Y15</f>
        <v>45</v>
      </c>
      <c r="Y16">
        <f t="shared" ref="Y16:Y17" si="14">X16+W16</f>
        <v>65</v>
      </c>
      <c r="Z16">
        <f t="shared" si="12"/>
        <v>1.1344640137963142</v>
      </c>
    </row>
    <row r="17" spans="1:36">
      <c r="A17">
        <f t="shared" si="2"/>
        <v>0.20943951023931953</v>
      </c>
      <c r="B17">
        <v>12</v>
      </c>
      <c r="C17">
        <f t="shared" si="3"/>
        <v>0.97814760073380569</v>
      </c>
      <c r="D17">
        <f t="shared" si="4"/>
        <v>0.20791169081775931</v>
      </c>
      <c r="F17" s="7">
        <f t="shared" si="5"/>
        <v>2.9344428022014171</v>
      </c>
      <c r="G17" s="7">
        <f t="shared" si="6"/>
        <v>0.62373507245327797</v>
      </c>
      <c r="H17" s="7">
        <f t="shared" si="0"/>
        <v>1.9562952014676114</v>
      </c>
      <c r="I17" s="7">
        <f t="shared" si="7"/>
        <v>0.41582338163551863</v>
      </c>
      <c r="J17" s="7">
        <f t="shared" si="1"/>
        <v>0.97814760073380569</v>
      </c>
      <c r="K17" s="7">
        <f t="shared" si="8"/>
        <v>0.20791169081775931</v>
      </c>
      <c r="V17">
        <v>4</v>
      </c>
      <c r="W17">
        <f>90-SUM(W14:W16)</f>
        <v>25</v>
      </c>
      <c r="X17">
        <f t="shared" si="13"/>
        <v>65</v>
      </c>
      <c r="Y17">
        <f t="shared" si="14"/>
        <v>90</v>
      </c>
    </row>
    <row r="18" spans="1:36">
      <c r="A18">
        <f t="shared" si="2"/>
        <v>0.22689280275926282</v>
      </c>
      <c r="B18">
        <v>13</v>
      </c>
      <c r="C18">
        <f t="shared" si="3"/>
        <v>0.97437006478523525</v>
      </c>
      <c r="D18">
        <f t="shared" si="4"/>
        <v>0.22495105434386498</v>
      </c>
      <c r="F18" s="7">
        <f t="shared" si="5"/>
        <v>2.9231101943557056</v>
      </c>
      <c r="G18" s="7">
        <f t="shared" si="6"/>
        <v>0.67485316303159493</v>
      </c>
      <c r="H18" s="7">
        <f t="shared" si="0"/>
        <v>1.9487401295704705</v>
      </c>
      <c r="I18" s="7">
        <f t="shared" si="7"/>
        <v>0.44990210868772995</v>
      </c>
      <c r="J18" s="7">
        <f t="shared" si="1"/>
        <v>0.97437006478523525</v>
      </c>
      <c r="K18" s="7">
        <f t="shared" si="8"/>
        <v>0.22495105434386498</v>
      </c>
    </row>
    <row r="19" spans="1:36">
      <c r="A19">
        <f t="shared" si="2"/>
        <v>0.24434609527920614</v>
      </c>
      <c r="B19">
        <v>14</v>
      </c>
      <c r="C19">
        <f t="shared" si="3"/>
        <v>0.97029572627599647</v>
      </c>
      <c r="D19">
        <f t="shared" si="4"/>
        <v>0.24192189559966773</v>
      </c>
      <c r="F19" s="7">
        <f t="shared" si="5"/>
        <v>2.9108871788279895</v>
      </c>
      <c r="G19" s="7">
        <f t="shared" si="6"/>
        <v>0.72576568679900322</v>
      </c>
      <c r="H19" s="7">
        <f t="shared" si="0"/>
        <v>1.9405914525519929</v>
      </c>
      <c r="I19" s="7">
        <f t="shared" si="7"/>
        <v>0.48384379119933546</v>
      </c>
      <c r="J19" s="7">
        <f t="shared" si="1"/>
        <v>0.97029572627599647</v>
      </c>
      <c r="K19" s="7">
        <f t="shared" si="8"/>
        <v>0.24192189559966773</v>
      </c>
      <c r="V19" t="s">
        <v>22</v>
      </c>
      <c r="W19">
        <v>0.1</v>
      </c>
    </row>
    <row r="20" spans="1:36">
      <c r="A20">
        <f t="shared" si="2"/>
        <v>0.26179938779914941</v>
      </c>
      <c r="B20">
        <v>15</v>
      </c>
      <c r="C20">
        <f t="shared" si="3"/>
        <v>0.96592582628906831</v>
      </c>
      <c r="D20">
        <f t="shared" si="4"/>
        <v>0.25881904510252074</v>
      </c>
      <c r="F20" s="7">
        <f t="shared" si="5"/>
        <v>2.897777478867205</v>
      </c>
      <c r="G20" s="7">
        <f t="shared" si="6"/>
        <v>0.77645713530756222</v>
      </c>
      <c r="H20" s="7">
        <f t="shared" si="0"/>
        <v>1.9318516525781366</v>
      </c>
      <c r="I20" s="7">
        <f t="shared" si="7"/>
        <v>0.51763809020504148</v>
      </c>
      <c r="J20" s="7">
        <f t="shared" si="1"/>
        <v>0.96592582628906831</v>
      </c>
      <c r="K20" s="7">
        <f t="shared" si="8"/>
        <v>0.25881904510252074</v>
      </c>
      <c r="V20" t="s">
        <v>23</v>
      </c>
      <c r="W20">
        <v>3.2</v>
      </c>
    </row>
    <row r="21" spans="1:36">
      <c r="A21">
        <f t="shared" si="2"/>
        <v>0.27925268031909273</v>
      </c>
      <c r="B21">
        <v>16</v>
      </c>
      <c r="C21">
        <f t="shared" si="3"/>
        <v>0.96126169593831889</v>
      </c>
      <c r="D21">
        <f t="shared" si="4"/>
        <v>0.27563735581699916</v>
      </c>
      <c r="F21" s="7">
        <f t="shared" si="5"/>
        <v>2.8837850878149567</v>
      </c>
      <c r="G21" s="7">
        <f t="shared" si="6"/>
        <v>0.82691206745099755</v>
      </c>
      <c r="H21" s="7">
        <f t="shared" si="0"/>
        <v>1.9225233918766378</v>
      </c>
      <c r="I21" s="7">
        <f t="shared" si="7"/>
        <v>0.55127471163399833</v>
      </c>
      <c r="J21" s="7">
        <f t="shared" si="1"/>
        <v>0.96126169593831889</v>
      </c>
      <c r="K21" s="7">
        <f t="shared" si="8"/>
        <v>0.27563735581699916</v>
      </c>
      <c r="W21" t="s">
        <v>0</v>
      </c>
      <c r="X21" t="s">
        <v>1</v>
      </c>
    </row>
    <row r="22" spans="1:36">
      <c r="A22">
        <f t="shared" si="2"/>
        <v>0.29670597283903599</v>
      </c>
      <c r="B22">
        <v>17</v>
      </c>
      <c r="C22">
        <f t="shared" si="3"/>
        <v>0.95630475596303555</v>
      </c>
      <c r="D22">
        <f t="shared" si="4"/>
        <v>0.29237170472273671</v>
      </c>
      <c r="F22" s="7">
        <f t="shared" si="5"/>
        <v>2.8689142678891066</v>
      </c>
      <c r="G22" s="7">
        <f t="shared" si="6"/>
        <v>0.87711511416821009</v>
      </c>
      <c r="H22" s="7">
        <f t="shared" si="0"/>
        <v>1.9126095119260711</v>
      </c>
      <c r="I22" s="7">
        <f t="shared" si="7"/>
        <v>0.58474340944547343</v>
      </c>
      <c r="J22" s="7">
        <f t="shared" si="1"/>
        <v>0.95630475596303555</v>
      </c>
      <c r="K22" s="7">
        <f t="shared" si="8"/>
        <v>0.29237170472273671</v>
      </c>
      <c r="V22" t="s">
        <v>16</v>
      </c>
      <c r="W22">
        <f>COS(Z14)*W$19</f>
        <v>9.659258262890684E-2</v>
      </c>
      <c r="X22">
        <f>SIN(Z14)*W$19</f>
        <v>2.5881904510252074E-2</v>
      </c>
    </row>
    <row r="23" spans="1:36">
      <c r="A23">
        <f t="shared" si="2"/>
        <v>0.31415926535897931</v>
      </c>
      <c r="B23">
        <v>18</v>
      </c>
      <c r="C23">
        <f t="shared" si="3"/>
        <v>0.95105651629515353</v>
      </c>
      <c r="D23">
        <f t="shared" si="4"/>
        <v>0.3090169943749474</v>
      </c>
      <c r="F23" s="7">
        <f t="shared" si="5"/>
        <v>2.8531695488854605</v>
      </c>
      <c r="G23" s="7">
        <f t="shared" si="6"/>
        <v>0.92705098312484213</v>
      </c>
      <c r="H23" s="7">
        <f t="shared" si="0"/>
        <v>1.9021130325903071</v>
      </c>
      <c r="I23" s="7">
        <f t="shared" si="7"/>
        <v>0.61803398874989479</v>
      </c>
      <c r="J23" s="7">
        <f t="shared" si="1"/>
        <v>0.95105651629515353</v>
      </c>
      <c r="K23" s="7">
        <f t="shared" si="8"/>
        <v>0.3090169943749474</v>
      </c>
      <c r="V23" t="s">
        <v>17</v>
      </c>
      <c r="W23">
        <f>COS(Z14)*W$20</f>
        <v>3.0909626441250189</v>
      </c>
      <c r="X23">
        <f>SIN(Z14)*W$20</f>
        <v>0.82822094432806637</v>
      </c>
    </row>
    <row r="24" spans="1:36">
      <c r="A24">
        <f t="shared" si="2"/>
        <v>0.33161255787892263</v>
      </c>
      <c r="B24">
        <v>19</v>
      </c>
      <c r="C24">
        <f t="shared" si="3"/>
        <v>0.94551857559931685</v>
      </c>
      <c r="D24">
        <f t="shared" si="4"/>
        <v>0.3255681544571567</v>
      </c>
      <c r="F24" s="7">
        <f t="shared" si="5"/>
        <v>2.8365557267979504</v>
      </c>
      <c r="G24" s="7">
        <f t="shared" si="6"/>
        <v>0.9767044633714701</v>
      </c>
      <c r="H24" s="7">
        <f t="shared" si="0"/>
        <v>1.8910371511986337</v>
      </c>
      <c r="I24" s="7">
        <f t="shared" si="7"/>
        <v>0.6511363089143134</v>
      </c>
      <c r="J24" s="7">
        <f t="shared" si="1"/>
        <v>0.94551857559931685</v>
      </c>
      <c r="K24" s="7">
        <f t="shared" si="8"/>
        <v>0.3255681544571567</v>
      </c>
      <c r="V24" t="s">
        <v>18</v>
      </c>
      <c r="W24">
        <f>COS(Z15)*W$19</f>
        <v>7.0710678118654766E-2</v>
      </c>
      <c r="X24">
        <f>SIN(Z15)*W$19</f>
        <v>7.0710678118654752E-2</v>
      </c>
    </row>
    <row r="25" spans="1:36">
      <c r="A25">
        <f t="shared" si="2"/>
        <v>0.3490658503988659</v>
      </c>
      <c r="B25">
        <v>20</v>
      </c>
      <c r="C25">
        <f t="shared" si="3"/>
        <v>0.93969262078590843</v>
      </c>
      <c r="D25">
        <f t="shared" si="4"/>
        <v>0.34202014332566871</v>
      </c>
      <c r="F25" s="7">
        <f t="shared" si="5"/>
        <v>2.8190778623577253</v>
      </c>
      <c r="G25" s="7">
        <f t="shared" si="6"/>
        <v>1.0260604299770062</v>
      </c>
      <c r="H25" s="7">
        <f t="shared" si="0"/>
        <v>1.8793852415718169</v>
      </c>
      <c r="I25" s="7">
        <f t="shared" si="7"/>
        <v>0.68404028665133743</v>
      </c>
      <c r="J25" s="7">
        <f t="shared" si="1"/>
        <v>0.93969262078590843</v>
      </c>
      <c r="K25" s="7">
        <f t="shared" si="8"/>
        <v>0.34202014332566871</v>
      </c>
      <c r="V25" t="s">
        <v>19</v>
      </c>
      <c r="W25">
        <f>COS(Z15)*W$20</f>
        <v>2.2627416997969525</v>
      </c>
      <c r="X25">
        <f>SIN(Z15)*W$20</f>
        <v>2.2627416997969521</v>
      </c>
    </row>
    <row r="26" spans="1:36">
      <c r="A26">
        <f t="shared" si="2"/>
        <v>0.36651914291880922</v>
      </c>
      <c r="B26">
        <v>21</v>
      </c>
      <c r="C26">
        <f t="shared" si="3"/>
        <v>0.93358042649720174</v>
      </c>
      <c r="D26">
        <f t="shared" si="4"/>
        <v>0.35836794954530027</v>
      </c>
      <c r="F26" s="7">
        <f t="shared" si="5"/>
        <v>2.8007412794916053</v>
      </c>
      <c r="G26" s="7">
        <f t="shared" si="6"/>
        <v>1.0751038486359008</v>
      </c>
      <c r="H26" s="7">
        <f t="shared" si="0"/>
        <v>1.8671608529944035</v>
      </c>
      <c r="I26" s="7">
        <f t="shared" si="7"/>
        <v>0.71673589909060054</v>
      </c>
      <c r="J26" s="7">
        <f t="shared" si="1"/>
        <v>0.93358042649720174</v>
      </c>
      <c r="K26" s="7">
        <f t="shared" si="8"/>
        <v>0.35836794954530027</v>
      </c>
      <c r="V26" t="s">
        <v>20</v>
      </c>
      <c r="W26">
        <f>COS(Z16)*W$19</f>
        <v>4.2261826174069948E-2</v>
      </c>
      <c r="X26">
        <f>SIN(Z16)*W$19</f>
        <v>9.0630778703664996E-2</v>
      </c>
    </row>
    <row r="27" spans="1:36">
      <c r="A27">
        <f t="shared" si="2"/>
        <v>0.38397243543875248</v>
      </c>
      <c r="B27">
        <v>22</v>
      </c>
      <c r="C27">
        <f t="shared" si="3"/>
        <v>0.92718385456678742</v>
      </c>
      <c r="D27">
        <f t="shared" si="4"/>
        <v>0.37460659341591201</v>
      </c>
      <c r="F27" s="7">
        <f t="shared" si="5"/>
        <v>2.7815515637003623</v>
      </c>
      <c r="G27" s="7">
        <f t="shared" si="6"/>
        <v>1.1238197802477361</v>
      </c>
      <c r="H27" s="7">
        <f t="shared" si="0"/>
        <v>1.8543677091335748</v>
      </c>
      <c r="I27" s="7">
        <f t="shared" si="7"/>
        <v>0.74921318683182403</v>
      </c>
      <c r="J27" s="7">
        <f t="shared" si="1"/>
        <v>0.92718385456678742</v>
      </c>
      <c r="K27" s="7">
        <f t="shared" si="8"/>
        <v>0.37460659341591201</v>
      </c>
      <c r="V27" t="s">
        <v>21</v>
      </c>
      <c r="W27">
        <f>COS(Z16)*W$20</f>
        <v>1.3523784375702383</v>
      </c>
      <c r="X27">
        <f>SIN(Z16)*W$20</f>
        <v>2.9001849185172799</v>
      </c>
    </row>
    <row r="28" spans="1:36">
      <c r="A28">
        <f t="shared" si="2"/>
        <v>0.40142572795869574</v>
      </c>
      <c r="B28">
        <v>23</v>
      </c>
      <c r="C28">
        <f t="shared" si="3"/>
        <v>0.92050485345244037</v>
      </c>
      <c r="D28">
        <f t="shared" si="4"/>
        <v>0.39073112848927372</v>
      </c>
      <c r="F28" s="7">
        <f t="shared" si="5"/>
        <v>2.761514560357321</v>
      </c>
      <c r="G28" s="7">
        <f t="shared" si="6"/>
        <v>1.1721933854678213</v>
      </c>
      <c r="H28" s="7">
        <f t="shared" si="0"/>
        <v>1.8410097069048807</v>
      </c>
      <c r="I28" s="7">
        <f t="shared" si="7"/>
        <v>0.78146225697854743</v>
      </c>
      <c r="J28" s="7">
        <f t="shared" si="1"/>
        <v>0.92050485345244037</v>
      </c>
      <c r="K28" s="7">
        <f t="shared" si="8"/>
        <v>0.39073112848927372</v>
      </c>
    </row>
    <row r="29" spans="1:36">
      <c r="A29">
        <f t="shared" si="2"/>
        <v>0.41887902047863906</v>
      </c>
      <c r="B29">
        <v>24</v>
      </c>
      <c r="C29">
        <f t="shared" si="3"/>
        <v>0.91354545764260087</v>
      </c>
      <c r="D29">
        <f t="shared" si="4"/>
        <v>0.40673664307580015</v>
      </c>
      <c r="F29" s="7">
        <f t="shared" si="5"/>
        <v>2.7406363729278027</v>
      </c>
      <c r="G29" s="7">
        <f t="shared" si="6"/>
        <v>1.2202099292274005</v>
      </c>
      <c r="H29" s="7">
        <f t="shared" si="0"/>
        <v>1.8270909152852017</v>
      </c>
      <c r="I29" s="7">
        <f t="shared" si="7"/>
        <v>0.81347328615160031</v>
      </c>
      <c r="J29" s="7">
        <f t="shared" si="1"/>
        <v>0.91354545764260087</v>
      </c>
      <c r="K29" s="7">
        <f t="shared" si="8"/>
        <v>0.40673664307580015</v>
      </c>
    </row>
    <row r="30" spans="1:36">
      <c r="A30">
        <f t="shared" si="2"/>
        <v>0.43633231299858238</v>
      </c>
      <c r="B30">
        <v>25</v>
      </c>
      <c r="C30">
        <f t="shared" si="3"/>
        <v>0.90630778703664994</v>
      </c>
      <c r="D30">
        <f t="shared" si="4"/>
        <v>0.42261826174069944</v>
      </c>
      <c r="F30" s="7">
        <f t="shared" si="5"/>
        <v>2.7189233611099497</v>
      </c>
      <c r="G30" s="7">
        <f t="shared" si="6"/>
        <v>1.2678547852220983</v>
      </c>
      <c r="H30" s="7">
        <f t="shared" si="0"/>
        <v>1.8126155740732999</v>
      </c>
      <c r="I30" s="7">
        <f t="shared" si="7"/>
        <v>0.84523652348139888</v>
      </c>
      <c r="J30" s="7">
        <f t="shared" si="1"/>
        <v>0.90630778703664994</v>
      </c>
      <c r="K30" s="7">
        <f t="shared" si="8"/>
        <v>0.42261826174069944</v>
      </c>
      <c r="AB30" t="s">
        <v>26</v>
      </c>
      <c r="AC30" t="s">
        <v>27</v>
      </c>
      <c r="AD30" t="s">
        <v>28</v>
      </c>
      <c r="AE30" t="s">
        <v>29</v>
      </c>
      <c r="AF30" t="s">
        <v>2</v>
      </c>
      <c r="AG30" t="s">
        <v>30</v>
      </c>
      <c r="AH30" t="s">
        <v>31</v>
      </c>
      <c r="AI30" t="s">
        <v>0</v>
      </c>
      <c r="AJ30" t="s">
        <v>1</v>
      </c>
    </row>
    <row r="31" spans="1:36">
      <c r="A31">
        <f t="shared" si="2"/>
        <v>0.45378560551852565</v>
      </c>
      <c r="B31">
        <v>26</v>
      </c>
      <c r="C31">
        <f t="shared" si="3"/>
        <v>0.89879404629916704</v>
      </c>
      <c r="D31">
        <f t="shared" si="4"/>
        <v>0.4383711467890774</v>
      </c>
      <c r="F31" s="7">
        <f t="shared" si="5"/>
        <v>2.6963821388975013</v>
      </c>
      <c r="G31" s="7">
        <f t="shared" si="6"/>
        <v>1.3151134403672322</v>
      </c>
      <c r="H31" s="7">
        <f t="shared" si="0"/>
        <v>1.7975880925983341</v>
      </c>
      <c r="I31" s="7">
        <f t="shared" si="7"/>
        <v>0.87674229357815481</v>
      </c>
      <c r="J31" s="7">
        <f t="shared" si="1"/>
        <v>0.89879404629916704</v>
      </c>
      <c r="K31" s="7">
        <f t="shared" si="8"/>
        <v>0.4383711467890774</v>
      </c>
      <c r="AB31" t="s">
        <v>32</v>
      </c>
      <c r="AC31">
        <v>1</v>
      </c>
      <c r="AE31">
        <v>201906</v>
      </c>
      <c r="AF31">
        <f>2021-_xlfn.FLOOR.MATH(Table2[[#This Row],[Time]]/100)+1-(Table2[[#This Row],[Time]]-_xlfn.FLOOR.MATH(Table2[[#This Row],[Time]]/100)*100)/12</f>
        <v>2.5</v>
      </c>
      <c r="AG31">
        <v>0.5</v>
      </c>
      <c r="AH31">
        <f t="shared" ref="AH31:AH36" si="15">(INDEX($X$14:$X$17,MATCH(AC31,$V$14:$V$17,0))+AG31*INDEX($W$14:$W$17,MATCH(AC31,$V$14:$V$17,0)))/180*PI()</f>
        <v>0.1308996938995747</v>
      </c>
      <c r="AI31">
        <f>COS(Table2[[#This Row],[alpha]])*Table2[[#This Row],[r]]</f>
        <v>2.478612153434526</v>
      </c>
      <c r="AJ31">
        <f>SIN(Table2[[#This Row],[alpha]])*Table2[[#This Row],[r]]</f>
        <v>0.32631548055012893</v>
      </c>
    </row>
    <row r="32" spans="1:36">
      <c r="A32">
        <f t="shared" si="2"/>
        <v>0.47123889803846897</v>
      </c>
      <c r="B32">
        <v>27</v>
      </c>
      <c r="C32">
        <f t="shared" si="3"/>
        <v>0.8910065241883679</v>
      </c>
      <c r="D32">
        <f t="shared" si="4"/>
        <v>0.45399049973954675</v>
      </c>
      <c r="F32" s="7">
        <f t="shared" si="5"/>
        <v>2.6730195725651038</v>
      </c>
      <c r="G32" s="7">
        <f t="shared" si="6"/>
        <v>1.3619714992186402</v>
      </c>
      <c r="H32" s="7">
        <f t="shared" si="0"/>
        <v>1.7820130483767358</v>
      </c>
      <c r="I32" s="7">
        <f t="shared" si="7"/>
        <v>0.9079809994790935</v>
      </c>
      <c r="J32" s="7">
        <f t="shared" si="1"/>
        <v>0.8910065241883679</v>
      </c>
      <c r="K32" s="7">
        <f t="shared" si="8"/>
        <v>0.45399049973954675</v>
      </c>
      <c r="AB32" t="s">
        <v>35</v>
      </c>
      <c r="AC32">
        <v>2</v>
      </c>
      <c r="AE32">
        <v>201906</v>
      </c>
      <c r="AF32">
        <f>2021-_xlfn.FLOOR.MATH(Table2[[#This Row],[Time]]/100)+1-(Table2[[#This Row],[Time]]-_xlfn.FLOOR.MATH(Table2[[#This Row],[Time]]/100)*100)/12</f>
        <v>2.5</v>
      </c>
      <c r="AG32">
        <v>0.3</v>
      </c>
      <c r="AH32">
        <f t="shared" si="15"/>
        <v>0.41887902047863906</v>
      </c>
      <c r="AI32">
        <f>COS(Table2[[#This Row],[alpha]])*Table2[[#This Row],[r]]</f>
        <v>2.2838636441065021</v>
      </c>
      <c r="AJ32">
        <f>SIN(Table2[[#This Row],[alpha]])*Table2[[#This Row],[r]]</f>
        <v>1.0168416076895004</v>
      </c>
    </row>
    <row r="33" spans="1:36">
      <c r="A33">
        <f t="shared" si="2"/>
        <v>0.48869219055841229</v>
      </c>
      <c r="B33">
        <v>28</v>
      </c>
      <c r="C33">
        <f t="shared" si="3"/>
        <v>0.88294759285892699</v>
      </c>
      <c r="D33">
        <f t="shared" si="4"/>
        <v>0.46947156278589081</v>
      </c>
      <c r="F33" s="7">
        <f t="shared" si="5"/>
        <v>2.648842778576781</v>
      </c>
      <c r="G33" s="7">
        <f t="shared" si="6"/>
        <v>1.4084146883576725</v>
      </c>
      <c r="H33" s="7">
        <f t="shared" si="0"/>
        <v>1.765895185717854</v>
      </c>
      <c r="I33" s="7">
        <f t="shared" si="7"/>
        <v>0.93894312557178161</v>
      </c>
      <c r="J33" s="7">
        <f t="shared" si="1"/>
        <v>0.88294759285892699</v>
      </c>
      <c r="K33" s="7">
        <f t="shared" si="8"/>
        <v>0.46947156278589081</v>
      </c>
      <c r="AB33" t="s">
        <v>33</v>
      </c>
      <c r="AC33">
        <v>3</v>
      </c>
      <c r="AE33">
        <v>201906</v>
      </c>
      <c r="AF33">
        <f>2021-_xlfn.FLOOR.MATH(Table2[[#This Row],[Time]]/100)+1-(Table2[[#This Row],[Time]]-_xlfn.FLOOR.MATH(Table2[[#This Row],[Time]]/100)*100)/12</f>
        <v>2.5</v>
      </c>
      <c r="AG33">
        <v>0.2</v>
      </c>
      <c r="AH33">
        <f t="shared" si="15"/>
        <v>0.85521133347722134</v>
      </c>
      <c r="AI33">
        <f>COS(Table2[[#This Row],[alpha]])*Table2[[#This Row],[r]]</f>
        <v>1.6401475724762684</v>
      </c>
      <c r="AJ33">
        <f>SIN(Table2[[#This Row],[alpha]])*Table2[[#This Row],[r]]</f>
        <v>1.8867739505569299</v>
      </c>
    </row>
    <row r="34" spans="1:36">
      <c r="A34">
        <f t="shared" si="2"/>
        <v>0.50614548307835561</v>
      </c>
      <c r="B34">
        <v>29</v>
      </c>
      <c r="C34">
        <f t="shared" si="3"/>
        <v>0.87461970713939574</v>
      </c>
      <c r="D34">
        <f t="shared" si="4"/>
        <v>0.48480962024633706</v>
      </c>
      <c r="F34" s="7">
        <f t="shared" si="5"/>
        <v>2.623859121418187</v>
      </c>
      <c r="G34" s="7">
        <f t="shared" si="6"/>
        <v>1.4544288607390112</v>
      </c>
      <c r="H34" s="7">
        <f t="shared" si="0"/>
        <v>1.7492394142787915</v>
      </c>
      <c r="I34" s="7">
        <f t="shared" si="7"/>
        <v>0.96961924049267412</v>
      </c>
      <c r="J34" s="7">
        <f t="shared" si="1"/>
        <v>0.87461970713939574</v>
      </c>
      <c r="K34" s="7">
        <f t="shared" si="8"/>
        <v>0.48480962024633706</v>
      </c>
      <c r="AB34" t="s">
        <v>34</v>
      </c>
      <c r="AC34">
        <v>4</v>
      </c>
      <c r="AE34">
        <v>201906</v>
      </c>
      <c r="AF34">
        <f>2021-_xlfn.FLOOR.MATH(Table2[[#This Row],[Time]]/100)+1-(Table2[[#This Row],[Time]]-_xlfn.FLOOR.MATH(Table2[[#This Row],[Time]]/100)*100)/12</f>
        <v>2.5</v>
      </c>
      <c r="AG34">
        <v>0.1</v>
      </c>
      <c r="AH34">
        <f t="shared" si="15"/>
        <v>1.1780972450961724</v>
      </c>
      <c r="AI34">
        <f>COS(Table2[[#This Row],[alpha]])*Table2[[#This Row],[r]]</f>
        <v>0.95670858091272459</v>
      </c>
      <c r="AJ34">
        <f>SIN(Table2[[#This Row],[alpha]])*Table2[[#This Row],[r]]</f>
        <v>2.309698831278217</v>
      </c>
    </row>
    <row r="35" spans="1:36">
      <c r="A35">
        <f t="shared" si="2"/>
        <v>0.52359877559829882</v>
      </c>
      <c r="B35">
        <v>30</v>
      </c>
      <c r="C35">
        <f t="shared" si="3"/>
        <v>0.86602540378443871</v>
      </c>
      <c r="D35">
        <f t="shared" si="4"/>
        <v>0.49999999999999994</v>
      </c>
      <c r="F35" s="7">
        <f t="shared" si="5"/>
        <v>2.598076211353316</v>
      </c>
      <c r="G35" s="7">
        <f t="shared" si="6"/>
        <v>1.4999999999999998</v>
      </c>
      <c r="H35" s="7">
        <f t="shared" si="0"/>
        <v>1.7320508075688774</v>
      </c>
      <c r="I35" s="7">
        <f t="shared" si="7"/>
        <v>0.99999999999999989</v>
      </c>
      <c r="J35" s="7">
        <f t="shared" si="1"/>
        <v>0.86602540378443871</v>
      </c>
      <c r="K35" s="7">
        <f t="shared" si="8"/>
        <v>0.49999999999999994</v>
      </c>
      <c r="AB35" s="2" t="s">
        <v>39</v>
      </c>
      <c r="AC35">
        <v>2</v>
      </c>
      <c r="AE35">
        <v>202008</v>
      </c>
      <c r="AF35">
        <f>2021-_xlfn.FLOOR.MATH(Table2[[#This Row],[Time]]/100)+1-(Table2[[#This Row],[Time]]-_xlfn.FLOOR.MATH(Table2[[#This Row],[Time]]/100)*100)/12</f>
        <v>1.3333333333333335</v>
      </c>
      <c r="AG35">
        <v>0.8</v>
      </c>
      <c r="AH35">
        <f t="shared" si="15"/>
        <v>0.68067840827778858</v>
      </c>
      <c r="AI35">
        <f>COS(Table2[[#This Row],[alpha]])*Table2[[#This Row],[r]]</f>
        <v>1.0361946152759614</v>
      </c>
      <c r="AJ35">
        <f>SIN(Table2[[#This Row],[alpha]])*Table2[[#This Row],[r]]</f>
        <v>0.83909385473311682</v>
      </c>
    </row>
    <row r="36" spans="1:36">
      <c r="A36">
        <f t="shared" si="2"/>
        <v>0.54105206811824214</v>
      </c>
      <c r="B36">
        <v>31</v>
      </c>
      <c r="C36">
        <f t="shared" si="3"/>
        <v>0.85716730070211233</v>
      </c>
      <c r="D36">
        <f t="shared" si="4"/>
        <v>0.51503807491005416</v>
      </c>
      <c r="F36" s="7">
        <f t="shared" si="5"/>
        <v>2.5715019021063368</v>
      </c>
      <c r="G36" s="7">
        <f t="shared" si="6"/>
        <v>1.5451142247301624</v>
      </c>
      <c r="H36" s="7">
        <f t="shared" si="0"/>
        <v>1.7143346014042247</v>
      </c>
      <c r="I36" s="7">
        <f t="shared" si="7"/>
        <v>1.0300761498201083</v>
      </c>
      <c r="J36" s="7">
        <f t="shared" si="1"/>
        <v>0.85716730070211233</v>
      </c>
      <c r="K36" s="7">
        <f t="shared" si="8"/>
        <v>0.51503807491005416</v>
      </c>
      <c r="AB36" s="2" t="s">
        <v>40</v>
      </c>
      <c r="AC36">
        <v>3</v>
      </c>
      <c r="AE36">
        <v>202101</v>
      </c>
      <c r="AF36">
        <f>2021-_xlfn.FLOOR.MATH(Table2[[#This Row],[Time]]/100)+1-(Table2[[#This Row],[Time]]-_xlfn.FLOOR.MATH(Table2[[#This Row],[Time]]/100)*100)/12</f>
        <v>0.91666666666666663</v>
      </c>
      <c r="AH36">
        <f t="shared" si="15"/>
        <v>0.78539816339744828</v>
      </c>
      <c r="AI36">
        <f>COS(Table2[[#This Row],[alpha]])*Table2[[#This Row],[r]]</f>
        <v>0.64818121608766854</v>
      </c>
      <c r="AJ36">
        <f>SIN(Table2[[#This Row],[alpha]])*Table2[[#This Row],[r]]</f>
        <v>0.64818121608766843</v>
      </c>
    </row>
    <row r="37" spans="1:36">
      <c r="A37">
        <f t="shared" si="2"/>
        <v>0.55850536063818546</v>
      </c>
      <c r="B37">
        <v>32</v>
      </c>
      <c r="C37">
        <f t="shared" si="3"/>
        <v>0.84804809615642596</v>
      </c>
      <c r="D37">
        <f t="shared" si="4"/>
        <v>0.5299192642332049</v>
      </c>
      <c r="F37" s="7">
        <f t="shared" si="5"/>
        <v>2.544144288469278</v>
      </c>
      <c r="G37" s="7">
        <f t="shared" si="6"/>
        <v>1.5897577926996147</v>
      </c>
      <c r="H37" s="7">
        <f t="shared" si="0"/>
        <v>1.6960961923128519</v>
      </c>
      <c r="I37" s="7">
        <f t="shared" si="7"/>
        <v>1.0598385284664098</v>
      </c>
      <c r="J37" s="7">
        <f t="shared" si="1"/>
        <v>0.84804809615642596</v>
      </c>
      <c r="K37" s="7">
        <f t="shared" si="8"/>
        <v>0.5299192642332049</v>
      </c>
      <c r="AB37" t="s">
        <v>41</v>
      </c>
      <c r="AC37">
        <v>3</v>
      </c>
      <c r="AE37">
        <v>202004</v>
      </c>
      <c r="AF37">
        <f>2021-_xlfn.FLOOR.MATH(Table2[[#This Row],[Time]]/100)+1-(Table2[[#This Row],[Time]]-_xlfn.FLOOR.MATH(Table2[[#This Row],[Time]]/100)*100)/12</f>
        <v>1.6666666666666667</v>
      </c>
      <c r="AH37">
        <f t="shared" ref="AH37" si="16">(INDEX($X$14:$X$17,MATCH(AC37,$V$14:$V$17,0))+AG37*INDEX($W$14:$W$17,MATCH(AC37,$V$14:$V$17,0)))/180*PI()</f>
        <v>0.78539816339744828</v>
      </c>
      <c r="AI37">
        <f>COS(Table2[[#This Row],[alpha]])*Table2[[#This Row],[r]]</f>
        <v>1.1785113019775793</v>
      </c>
      <c r="AJ37">
        <f>SIN(Table2[[#This Row],[alpha]])*Table2[[#This Row],[r]]</f>
        <v>1.1785113019775793</v>
      </c>
    </row>
    <row r="38" spans="1:36">
      <c r="A38">
        <f t="shared" si="2"/>
        <v>0.57595865315812866</v>
      </c>
      <c r="B38">
        <v>33</v>
      </c>
      <c r="C38">
        <f t="shared" si="3"/>
        <v>0.83867056794542405</v>
      </c>
      <c r="D38">
        <f t="shared" si="4"/>
        <v>0.54463903501502697</v>
      </c>
      <c r="F38" s="7">
        <f t="shared" si="5"/>
        <v>2.5160117038362722</v>
      </c>
      <c r="G38" s="7">
        <f t="shared" si="6"/>
        <v>1.6339171050450809</v>
      </c>
      <c r="H38" s="7">
        <f t="shared" si="0"/>
        <v>1.6773411358908481</v>
      </c>
      <c r="I38" s="7">
        <f t="shared" si="7"/>
        <v>1.0892780700300539</v>
      </c>
      <c r="J38" s="7">
        <f t="shared" si="1"/>
        <v>0.83867056794542405</v>
      </c>
      <c r="K38" s="7">
        <f t="shared" si="8"/>
        <v>0.54463903501502697</v>
      </c>
    </row>
    <row r="39" spans="1:36">
      <c r="A39">
        <f t="shared" si="2"/>
        <v>0.59341194567807198</v>
      </c>
      <c r="B39">
        <v>34</v>
      </c>
      <c r="C39">
        <f t="shared" si="3"/>
        <v>0.82903757255504174</v>
      </c>
      <c r="D39">
        <f t="shared" si="4"/>
        <v>0.55919290347074679</v>
      </c>
      <c r="F39" s="7">
        <f t="shared" si="5"/>
        <v>2.4871127176651253</v>
      </c>
      <c r="G39" s="7">
        <f t="shared" si="6"/>
        <v>1.6775787104122404</v>
      </c>
      <c r="H39" s="7">
        <f t="shared" si="0"/>
        <v>1.6580751451100835</v>
      </c>
      <c r="I39" s="7">
        <f t="shared" si="7"/>
        <v>1.1183858069414936</v>
      </c>
      <c r="J39" s="7">
        <f t="shared" si="1"/>
        <v>0.82903757255504174</v>
      </c>
      <c r="K39" s="7">
        <f t="shared" si="8"/>
        <v>0.55919290347074679</v>
      </c>
    </row>
    <row r="40" spans="1:36">
      <c r="A40">
        <f t="shared" si="2"/>
        <v>0.6108652381980153</v>
      </c>
      <c r="B40">
        <v>35</v>
      </c>
      <c r="C40">
        <f t="shared" si="3"/>
        <v>0.8191520442889918</v>
      </c>
      <c r="D40">
        <f t="shared" si="4"/>
        <v>0.57357643635104605</v>
      </c>
      <c r="F40" s="7">
        <f t="shared" si="5"/>
        <v>2.4574561328669753</v>
      </c>
      <c r="G40" s="7">
        <f t="shared" si="6"/>
        <v>1.7207293090531381</v>
      </c>
      <c r="H40" s="7">
        <f t="shared" si="0"/>
        <v>1.6383040885779836</v>
      </c>
      <c r="I40" s="7">
        <f t="shared" si="7"/>
        <v>1.1471528727020921</v>
      </c>
      <c r="J40" s="7">
        <f t="shared" si="1"/>
        <v>0.8191520442889918</v>
      </c>
      <c r="K40" s="7">
        <f t="shared" si="8"/>
        <v>0.57357643635104605</v>
      </c>
    </row>
    <row r="41" spans="1:36">
      <c r="A41">
        <f t="shared" si="2"/>
        <v>0.62831853071795862</v>
      </c>
      <c r="B41">
        <v>36</v>
      </c>
      <c r="C41">
        <f t="shared" si="3"/>
        <v>0.80901699437494745</v>
      </c>
      <c r="D41">
        <f t="shared" si="4"/>
        <v>0.58778525229247314</v>
      </c>
      <c r="F41" s="7">
        <f t="shared" si="5"/>
        <v>2.4270509831248424</v>
      </c>
      <c r="G41" s="7">
        <f t="shared" si="6"/>
        <v>1.7633557568774194</v>
      </c>
      <c r="H41" s="7">
        <f t="shared" si="0"/>
        <v>1.6180339887498949</v>
      </c>
      <c r="I41" s="7">
        <f t="shared" si="7"/>
        <v>1.1755705045849463</v>
      </c>
      <c r="J41" s="7">
        <f t="shared" si="1"/>
        <v>0.80901699437494745</v>
      </c>
      <c r="K41" s="7">
        <f t="shared" si="8"/>
        <v>0.58778525229247314</v>
      </c>
    </row>
    <row r="42" spans="1:36">
      <c r="A42">
        <f t="shared" si="2"/>
        <v>0.64577182323790194</v>
      </c>
      <c r="B42">
        <v>37</v>
      </c>
      <c r="C42">
        <f t="shared" si="3"/>
        <v>0.79863551004729283</v>
      </c>
      <c r="D42">
        <f t="shared" si="4"/>
        <v>0.60181502315204827</v>
      </c>
      <c r="F42" s="7">
        <f t="shared" si="5"/>
        <v>2.3959065301418785</v>
      </c>
      <c r="G42" s="7">
        <f t="shared" si="6"/>
        <v>1.8054450694561448</v>
      </c>
      <c r="H42" s="7">
        <f t="shared" si="0"/>
        <v>1.5972710200945857</v>
      </c>
      <c r="I42" s="7">
        <f t="shared" si="7"/>
        <v>1.2036300463040965</v>
      </c>
      <c r="J42" s="7">
        <f t="shared" si="1"/>
        <v>0.79863551004729283</v>
      </c>
      <c r="K42" s="7">
        <f t="shared" si="8"/>
        <v>0.60181502315204827</v>
      </c>
    </row>
    <row r="43" spans="1:36">
      <c r="A43">
        <f t="shared" si="2"/>
        <v>0.66322511575784526</v>
      </c>
      <c r="B43">
        <v>38</v>
      </c>
      <c r="C43">
        <f t="shared" si="3"/>
        <v>0.7880107536067219</v>
      </c>
      <c r="D43">
        <f t="shared" si="4"/>
        <v>0.61566147532565829</v>
      </c>
      <c r="F43" s="7">
        <f t="shared" si="5"/>
        <v>2.3640322608201658</v>
      </c>
      <c r="G43" s="7">
        <f t="shared" si="6"/>
        <v>1.846984425976975</v>
      </c>
      <c r="H43" s="7">
        <f t="shared" si="0"/>
        <v>1.5760215072134438</v>
      </c>
      <c r="I43" s="7">
        <f t="shared" si="7"/>
        <v>1.2313229506513166</v>
      </c>
      <c r="J43" s="7">
        <f t="shared" si="1"/>
        <v>0.7880107536067219</v>
      </c>
      <c r="K43" s="7">
        <f t="shared" si="8"/>
        <v>0.61566147532565829</v>
      </c>
    </row>
    <row r="44" spans="1:36">
      <c r="A44">
        <f t="shared" si="2"/>
        <v>0.68067840827778858</v>
      </c>
      <c r="B44">
        <v>39</v>
      </c>
      <c r="C44">
        <f t="shared" si="3"/>
        <v>0.7771459614569709</v>
      </c>
      <c r="D44">
        <f t="shared" si="4"/>
        <v>0.6293203910498375</v>
      </c>
      <c r="F44" s="7">
        <f t="shared" si="5"/>
        <v>2.3314378843709127</v>
      </c>
      <c r="G44" s="7">
        <f t="shared" si="6"/>
        <v>1.8879611731495125</v>
      </c>
      <c r="H44" s="7">
        <f t="shared" si="0"/>
        <v>1.5542919229139418</v>
      </c>
      <c r="I44" s="7">
        <f t="shared" si="7"/>
        <v>1.258640782099675</v>
      </c>
      <c r="J44" s="7">
        <f t="shared" si="1"/>
        <v>0.7771459614569709</v>
      </c>
      <c r="K44" s="7">
        <f t="shared" si="8"/>
        <v>0.6293203910498375</v>
      </c>
    </row>
    <row r="45" spans="1:36">
      <c r="A45">
        <f t="shared" si="2"/>
        <v>0.69813170079773179</v>
      </c>
      <c r="B45">
        <v>40</v>
      </c>
      <c r="C45">
        <f t="shared" si="3"/>
        <v>0.76604444311897801</v>
      </c>
      <c r="D45">
        <f t="shared" si="4"/>
        <v>0.64278760968653925</v>
      </c>
      <c r="F45" s="7">
        <f t="shared" si="5"/>
        <v>2.2981333293569342</v>
      </c>
      <c r="G45" s="7">
        <f t="shared" si="6"/>
        <v>1.9283628290596178</v>
      </c>
      <c r="H45" s="7">
        <f t="shared" si="0"/>
        <v>1.532088886237956</v>
      </c>
      <c r="I45" s="7">
        <f t="shared" si="7"/>
        <v>1.2855752193730785</v>
      </c>
      <c r="J45" s="7">
        <f t="shared" si="1"/>
        <v>0.76604444311897801</v>
      </c>
      <c r="K45" s="7">
        <f t="shared" si="8"/>
        <v>0.64278760968653925</v>
      </c>
    </row>
    <row r="46" spans="1:36">
      <c r="A46">
        <f t="shared" si="2"/>
        <v>0.71558499331767511</v>
      </c>
      <c r="B46">
        <v>41</v>
      </c>
      <c r="C46">
        <f t="shared" si="3"/>
        <v>0.75470958022277201</v>
      </c>
      <c r="D46">
        <f t="shared" si="4"/>
        <v>0.65605902899050728</v>
      </c>
      <c r="F46" s="7">
        <f t="shared" si="5"/>
        <v>2.2641287406683159</v>
      </c>
      <c r="G46" s="7">
        <f t="shared" si="6"/>
        <v>1.9681770869715218</v>
      </c>
      <c r="H46" s="7">
        <f t="shared" si="0"/>
        <v>1.509419160445544</v>
      </c>
      <c r="I46" s="7">
        <f t="shared" si="7"/>
        <v>1.3121180579810146</v>
      </c>
      <c r="J46" s="7">
        <f t="shared" si="1"/>
        <v>0.75470958022277201</v>
      </c>
      <c r="K46" s="7">
        <f t="shared" si="8"/>
        <v>0.65605902899050728</v>
      </c>
    </row>
    <row r="47" spans="1:36">
      <c r="A47">
        <f t="shared" si="2"/>
        <v>0.73303828583761843</v>
      </c>
      <c r="B47">
        <v>42</v>
      </c>
      <c r="C47">
        <f t="shared" si="3"/>
        <v>0.74314482547739424</v>
      </c>
      <c r="D47">
        <f t="shared" si="4"/>
        <v>0.66913060635885824</v>
      </c>
      <c r="F47" s="7">
        <f t="shared" si="5"/>
        <v>2.229434476432183</v>
      </c>
      <c r="G47" s="7">
        <f t="shared" si="6"/>
        <v>2.0073918190765747</v>
      </c>
      <c r="H47" s="7">
        <f t="shared" si="0"/>
        <v>1.4862896509547885</v>
      </c>
      <c r="I47" s="7">
        <f t="shared" si="7"/>
        <v>1.3382612127177165</v>
      </c>
      <c r="J47" s="7">
        <f t="shared" si="1"/>
        <v>0.74314482547739424</v>
      </c>
      <c r="K47" s="7">
        <f t="shared" si="8"/>
        <v>0.66913060635885824</v>
      </c>
    </row>
    <row r="48" spans="1:36">
      <c r="A48">
        <f t="shared" si="2"/>
        <v>0.75049157835756175</v>
      </c>
      <c r="B48">
        <v>43</v>
      </c>
      <c r="C48">
        <f t="shared" si="3"/>
        <v>0.73135370161917046</v>
      </c>
      <c r="D48">
        <f t="shared" si="4"/>
        <v>0.68199836006249848</v>
      </c>
      <c r="F48" s="7">
        <f t="shared" si="5"/>
        <v>2.1940611048575116</v>
      </c>
      <c r="G48" s="7">
        <f t="shared" si="6"/>
        <v>2.0459950801874953</v>
      </c>
      <c r="H48" s="7">
        <f t="shared" si="0"/>
        <v>1.4627074032383409</v>
      </c>
      <c r="I48" s="7">
        <f t="shared" si="7"/>
        <v>1.363996720124997</v>
      </c>
      <c r="J48" s="7">
        <f t="shared" si="1"/>
        <v>0.73135370161917046</v>
      </c>
      <c r="K48" s="7">
        <f t="shared" si="8"/>
        <v>0.68199836006249848</v>
      </c>
      <c r="AB48" t="s">
        <v>27</v>
      </c>
      <c r="AC48" t="s">
        <v>68</v>
      </c>
      <c r="AD48" t="s">
        <v>2</v>
      </c>
      <c r="AE48" t="s">
        <v>67</v>
      </c>
      <c r="AF48" t="s">
        <v>31</v>
      </c>
      <c r="AG48" t="s">
        <v>0</v>
      </c>
      <c r="AH48" t="s">
        <v>1</v>
      </c>
      <c r="AI48" t="s">
        <v>66</v>
      </c>
    </row>
    <row r="49" spans="1:37">
      <c r="A49">
        <f t="shared" si="2"/>
        <v>0.76794487087750496</v>
      </c>
      <c r="B49">
        <v>44</v>
      </c>
      <c r="C49">
        <f t="shared" si="3"/>
        <v>0.71933980033865119</v>
      </c>
      <c r="D49">
        <f t="shared" si="4"/>
        <v>0.69465837045899725</v>
      </c>
      <c r="F49" s="7">
        <f t="shared" si="5"/>
        <v>2.1580194010159537</v>
      </c>
      <c r="G49" s="7">
        <f t="shared" si="6"/>
        <v>2.0839751113769918</v>
      </c>
      <c r="H49" s="7">
        <f t="shared" si="0"/>
        <v>1.4386796006773024</v>
      </c>
      <c r="I49" s="7">
        <f t="shared" si="7"/>
        <v>1.3893167409179945</v>
      </c>
      <c r="J49" s="7">
        <f t="shared" si="1"/>
        <v>0.71933980033865119</v>
      </c>
      <c r="K49" s="7">
        <f t="shared" si="8"/>
        <v>0.69465837045899725</v>
      </c>
      <c r="AB49" t="s">
        <v>87</v>
      </c>
      <c r="AC49">
        <v>1</v>
      </c>
      <c r="AD49">
        <v>3.7</v>
      </c>
      <c r="AE49">
        <v>0.5</v>
      </c>
      <c r="AF49">
        <f>(INDEX(Table3[Start],MATCH(tbl_Category[[#This Row],[Category No]],Table3[Cat],0))+tbl_Category[[#This Row],[a_frac]]*INDEX(Table3[Angle],MATCH(tbl_Category[[#This Row],[Category No]],Table3[Cat],0)))/180*PI()</f>
        <v>0.1308996938995747</v>
      </c>
      <c r="AG49">
        <f>COS(tbl_Category[[#This Row],[alpha]])*tbl_Category[[#This Row],[r]]</f>
        <v>3.6683459870830988</v>
      </c>
      <c r="AH49">
        <f>SIN(tbl_Category[[#This Row],[alpha]])*tbl_Category[[#This Row],[r]]</f>
        <v>0.48294691121419087</v>
      </c>
      <c r="AI49">
        <f>tbl_Category[[#This Row],[alpha]]*180/PI()</f>
        <v>7.4999999999999991</v>
      </c>
    </row>
    <row r="50" spans="1:37">
      <c r="A50">
        <f t="shared" si="2"/>
        <v>0.78539816339744828</v>
      </c>
      <c r="B50">
        <v>45</v>
      </c>
      <c r="C50">
        <f t="shared" si="3"/>
        <v>0.70710678118654757</v>
      </c>
      <c r="D50">
        <f t="shared" si="4"/>
        <v>0.70710678118654746</v>
      </c>
      <c r="F50" s="7">
        <f t="shared" si="5"/>
        <v>2.1213203435596428</v>
      </c>
      <c r="G50" s="7">
        <f t="shared" si="6"/>
        <v>2.1213203435596424</v>
      </c>
      <c r="H50" s="7">
        <f t="shared" si="0"/>
        <v>1.4142135623730951</v>
      </c>
      <c r="I50" s="7">
        <f t="shared" si="7"/>
        <v>1.4142135623730949</v>
      </c>
      <c r="J50" s="7">
        <f t="shared" si="1"/>
        <v>0.70710678118654757</v>
      </c>
      <c r="K50" s="7">
        <f t="shared" si="8"/>
        <v>0.70710678118654746</v>
      </c>
      <c r="AB50" t="s">
        <v>88</v>
      </c>
      <c r="AC50">
        <v>2</v>
      </c>
      <c r="AD50">
        <v>3.7</v>
      </c>
      <c r="AE50">
        <v>0.5</v>
      </c>
      <c r="AF50">
        <f>(INDEX(Table3[Start],MATCH(tbl_Category[[#This Row],[Category No]],Table3[Cat],0))+tbl_Category[[#This Row],[a_frac]]*INDEX(Table3[Angle],MATCH(tbl_Category[[#This Row],[Category No]],Table3[Cat],0)))/180*PI()</f>
        <v>0.52359877559829882</v>
      </c>
      <c r="AG50">
        <f>COS(tbl_Category[[#This Row],[alpha]])*tbl_Category[[#This Row],[r]]</f>
        <v>3.2042939940024233</v>
      </c>
      <c r="AH50">
        <f>SIN(tbl_Category[[#This Row],[alpha]])*tbl_Category[[#This Row],[r]]</f>
        <v>1.8499999999999999</v>
      </c>
      <c r="AI50">
        <f>tbl_Category[[#This Row],[alpha]]*180/PI()</f>
        <v>29.999999999999996</v>
      </c>
      <c r="AK50">
        <f>SIN(tbl_Category[[#This Row],[Column1]]/180*PI())</f>
        <v>0.49999999999999994</v>
      </c>
    </row>
    <row r="51" spans="1:37">
      <c r="A51">
        <f t="shared" si="2"/>
        <v>0.80285145591739149</v>
      </c>
      <c r="B51">
        <v>46</v>
      </c>
      <c r="C51">
        <f t="shared" si="3"/>
        <v>0.69465837045899737</v>
      </c>
      <c r="D51">
        <f t="shared" si="4"/>
        <v>0.71933980033865108</v>
      </c>
      <c r="F51" s="7">
        <f t="shared" si="5"/>
        <v>2.0839751113769922</v>
      </c>
      <c r="G51" s="7">
        <f t="shared" si="6"/>
        <v>2.1580194010159532</v>
      </c>
      <c r="H51" s="7">
        <f t="shared" si="0"/>
        <v>1.3893167409179947</v>
      </c>
      <c r="I51" s="7">
        <f t="shared" si="7"/>
        <v>1.4386796006773022</v>
      </c>
      <c r="J51" s="7">
        <f t="shared" si="1"/>
        <v>0.69465837045899737</v>
      </c>
      <c r="K51" s="7">
        <f t="shared" si="8"/>
        <v>0.71933980033865108</v>
      </c>
      <c r="AB51" t="s">
        <v>77</v>
      </c>
      <c r="AC51">
        <v>3</v>
      </c>
      <c r="AD51">
        <v>3.7</v>
      </c>
      <c r="AE51">
        <v>0.3</v>
      </c>
      <c r="AF51">
        <f>(INDEX(Table3[Start],MATCH(tbl_Category[[#This Row],[Category No]],Table3[Cat],0))+tbl_Category[[#This Row],[a_frac]]*INDEX(Table3[Angle],MATCH(tbl_Category[[#This Row],[Category No]],Table3[Cat],0)))/180*PI()</f>
        <v>0.89011791851710798</v>
      </c>
      <c r="AG51">
        <f>COS(tbl_Category[[#This Row],[alpha]])*tbl_Category[[#This Row],[r]]</f>
        <v>2.328485446884399</v>
      </c>
      <c r="AH51">
        <f>SIN(tbl_Category[[#This Row],[alpha]])*tbl_Category[[#This Row],[r]]</f>
        <v>2.8754400573907919</v>
      </c>
      <c r="AI51">
        <f>tbl_Category[[#This Row],[alpha]]*180/PI()</f>
        <v>51</v>
      </c>
    </row>
    <row r="52" spans="1:37">
      <c r="A52">
        <f t="shared" si="2"/>
        <v>0.83775804095727813</v>
      </c>
      <c r="B52">
        <v>48</v>
      </c>
      <c r="C52">
        <f t="shared" si="3"/>
        <v>0.66913060635885824</v>
      </c>
      <c r="D52">
        <f t="shared" si="4"/>
        <v>0.74314482547739413</v>
      </c>
      <c r="F52" s="7">
        <f t="shared" si="5"/>
        <v>2.0073918190765747</v>
      </c>
      <c r="G52" s="7">
        <f t="shared" si="6"/>
        <v>2.2294344764321825</v>
      </c>
      <c r="H52" s="7">
        <f t="shared" si="0"/>
        <v>1.3382612127177165</v>
      </c>
      <c r="I52" s="7">
        <f t="shared" si="7"/>
        <v>1.4862896509547883</v>
      </c>
      <c r="J52" s="7">
        <f t="shared" si="1"/>
        <v>0.66913060635885824</v>
      </c>
      <c r="K52" s="7">
        <f t="shared" si="8"/>
        <v>0.74314482547739413</v>
      </c>
      <c r="AB52" t="s">
        <v>89</v>
      </c>
      <c r="AC52">
        <v>4</v>
      </c>
      <c r="AD52">
        <v>3.5</v>
      </c>
      <c r="AE52">
        <v>0.3</v>
      </c>
      <c r="AF52">
        <f>(INDEX(Table3[Start],MATCH(tbl_Category[[#This Row],[Category No]],Table3[Cat],0))+tbl_Category[[#This Row],[a_frac]]*INDEX(Table3[Angle],MATCH(tbl_Category[[#This Row],[Category No]],Table3[Cat],0)))/180*PI()</f>
        <v>1.265363707695889</v>
      </c>
      <c r="AG52">
        <f>COS(tbl_Category[[#This Row],[alpha]])*tbl_Category[[#This Row],[r]]</f>
        <v>1.0524702982649556</v>
      </c>
      <c r="AH52">
        <f>SIN(tbl_Category[[#This Row],[alpha]])*tbl_Category[[#This Row],[r]]</f>
        <v>3.3380093276187943</v>
      </c>
      <c r="AI52">
        <f>tbl_Category[[#This Row],[alpha]]*180/PI()</f>
        <v>72.500000000000014</v>
      </c>
    </row>
    <row r="53" spans="1:37">
      <c r="A53">
        <f t="shared" si="2"/>
        <v>0.85521133347722134</v>
      </c>
      <c r="B53">
        <v>49</v>
      </c>
      <c r="C53">
        <f t="shared" si="3"/>
        <v>0.65605902899050739</v>
      </c>
      <c r="D53">
        <f t="shared" si="4"/>
        <v>0.7547095802227719</v>
      </c>
      <c r="F53" s="7">
        <f t="shared" si="5"/>
        <v>1.9681770869715223</v>
      </c>
      <c r="G53" s="7">
        <f t="shared" si="6"/>
        <v>2.2641287406683155</v>
      </c>
      <c r="H53" s="7">
        <f t="shared" si="0"/>
        <v>1.3121180579810148</v>
      </c>
      <c r="I53" s="7">
        <f t="shared" si="7"/>
        <v>1.5094191604455438</v>
      </c>
      <c r="J53" s="7">
        <f t="shared" si="1"/>
        <v>0.65605902899050739</v>
      </c>
      <c r="K53" s="7">
        <f t="shared" si="8"/>
        <v>0.7547095802227719</v>
      </c>
    </row>
    <row r="54" spans="1:37">
      <c r="A54">
        <f t="shared" si="2"/>
        <v>0.87266462599716477</v>
      </c>
      <c r="B54">
        <v>50</v>
      </c>
      <c r="C54">
        <f t="shared" si="3"/>
        <v>0.64278760968653936</v>
      </c>
      <c r="D54">
        <f t="shared" si="4"/>
        <v>0.76604444311897801</v>
      </c>
      <c r="F54" s="7">
        <f t="shared" si="5"/>
        <v>1.9283628290596182</v>
      </c>
      <c r="G54" s="7">
        <f t="shared" si="6"/>
        <v>2.2981333293569342</v>
      </c>
      <c r="H54" s="7">
        <f t="shared" si="0"/>
        <v>1.2855752193730787</v>
      </c>
      <c r="I54" s="7">
        <f t="shared" si="7"/>
        <v>1.532088886237956</v>
      </c>
      <c r="J54" s="7">
        <f t="shared" si="1"/>
        <v>0.64278760968653936</v>
      </c>
      <c r="K54" s="7">
        <f t="shared" si="8"/>
        <v>0.76604444311897801</v>
      </c>
    </row>
    <row r="55" spans="1:37">
      <c r="A55">
        <f t="shared" si="2"/>
        <v>0.89011791851710798</v>
      </c>
      <c r="B55">
        <v>51</v>
      </c>
      <c r="C55">
        <f t="shared" si="3"/>
        <v>0.6293203910498375</v>
      </c>
      <c r="D55">
        <f t="shared" si="4"/>
        <v>0.77714596145697079</v>
      </c>
      <c r="F55" s="7">
        <f t="shared" si="5"/>
        <v>1.8879611731495125</v>
      </c>
      <c r="G55" s="7">
        <f t="shared" si="6"/>
        <v>2.3314378843709123</v>
      </c>
      <c r="H55" s="7">
        <f t="shared" si="0"/>
        <v>1.258640782099675</v>
      </c>
      <c r="I55" s="7">
        <f t="shared" si="7"/>
        <v>1.5542919229139416</v>
      </c>
      <c r="J55" s="7">
        <f t="shared" si="1"/>
        <v>0.6293203910498375</v>
      </c>
      <c r="K55" s="7">
        <f t="shared" si="8"/>
        <v>0.77714596145697079</v>
      </c>
    </row>
    <row r="56" spans="1:37">
      <c r="A56">
        <f t="shared" si="2"/>
        <v>0.9075712110370513</v>
      </c>
      <c r="B56">
        <v>52</v>
      </c>
      <c r="C56">
        <f t="shared" si="3"/>
        <v>0.61566147532565829</v>
      </c>
      <c r="D56">
        <f t="shared" si="4"/>
        <v>0.7880107536067219</v>
      </c>
      <c r="F56" s="7">
        <f t="shared" si="5"/>
        <v>1.846984425976975</v>
      </c>
      <c r="G56" s="7">
        <f t="shared" si="6"/>
        <v>2.3640322608201658</v>
      </c>
      <c r="H56" s="7">
        <f t="shared" si="0"/>
        <v>1.2313229506513166</v>
      </c>
      <c r="I56" s="7">
        <f t="shared" si="7"/>
        <v>1.5760215072134438</v>
      </c>
      <c r="J56" s="7">
        <f t="shared" si="1"/>
        <v>0.61566147532565829</v>
      </c>
      <c r="K56" s="7">
        <f t="shared" si="8"/>
        <v>0.7880107536067219</v>
      </c>
    </row>
    <row r="57" spans="1:37">
      <c r="A57">
        <f t="shared" si="2"/>
        <v>0.92502450355699462</v>
      </c>
      <c r="B57">
        <v>53</v>
      </c>
      <c r="C57">
        <f t="shared" si="3"/>
        <v>0.60181502315204838</v>
      </c>
      <c r="D57">
        <f t="shared" si="4"/>
        <v>0.79863551004729283</v>
      </c>
      <c r="F57" s="7">
        <f t="shared" si="5"/>
        <v>1.805445069456145</v>
      </c>
      <c r="G57" s="7">
        <f t="shared" si="6"/>
        <v>2.3959065301418785</v>
      </c>
      <c r="H57" s="7">
        <f t="shared" si="0"/>
        <v>1.2036300463040968</v>
      </c>
      <c r="I57" s="7">
        <f t="shared" si="7"/>
        <v>1.5972710200945857</v>
      </c>
      <c r="J57" s="7">
        <f t="shared" si="1"/>
        <v>0.60181502315204838</v>
      </c>
      <c r="K57" s="7">
        <f t="shared" si="8"/>
        <v>0.79863551004729283</v>
      </c>
    </row>
    <row r="58" spans="1:37">
      <c r="A58">
        <f t="shared" si="2"/>
        <v>0.94247779607693793</v>
      </c>
      <c r="B58">
        <v>54</v>
      </c>
      <c r="C58">
        <f t="shared" si="3"/>
        <v>0.58778525229247314</v>
      </c>
      <c r="D58">
        <f t="shared" si="4"/>
        <v>0.80901699437494745</v>
      </c>
      <c r="F58" s="7">
        <f t="shared" si="5"/>
        <v>1.7633557568774194</v>
      </c>
      <c r="G58" s="7">
        <f t="shared" si="6"/>
        <v>2.4270509831248424</v>
      </c>
      <c r="H58" s="7">
        <f t="shared" si="0"/>
        <v>1.1755705045849463</v>
      </c>
      <c r="I58" s="7">
        <f t="shared" si="7"/>
        <v>1.6180339887498949</v>
      </c>
      <c r="J58" s="7">
        <f t="shared" si="1"/>
        <v>0.58778525229247314</v>
      </c>
      <c r="K58" s="7">
        <f t="shared" si="8"/>
        <v>0.80901699437494745</v>
      </c>
    </row>
    <row r="59" spans="1:37">
      <c r="A59">
        <f t="shared" si="2"/>
        <v>0.95993108859688125</v>
      </c>
      <c r="B59">
        <v>55</v>
      </c>
      <c r="C59">
        <f t="shared" si="3"/>
        <v>0.57357643635104616</v>
      </c>
      <c r="D59">
        <f t="shared" si="4"/>
        <v>0.8191520442889918</v>
      </c>
      <c r="F59" s="7">
        <f t="shared" si="5"/>
        <v>1.7207293090531386</v>
      </c>
      <c r="G59" s="7">
        <f t="shared" si="6"/>
        <v>2.4574561328669753</v>
      </c>
      <c r="H59" s="7">
        <f t="shared" si="0"/>
        <v>1.1471528727020923</v>
      </c>
      <c r="I59" s="7">
        <f t="shared" si="7"/>
        <v>1.6383040885779836</v>
      </c>
      <c r="J59" s="7">
        <f t="shared" si="1"/>
        <v>0.57357643635104616</v>
      </c>
      <c r="K59" s="7">
        <f t="shared" si="8"/>
        <v>0.8191520442889918</v>
      </c>
    </row>
    <row r="60" spans="1:37">
      <c r="A60">
        <f t="shared" si="2"/>
        <v>0.97738438111682457</v>
      </c>
      <c r="B60">
        <v>56</v>
      </c>
      <c r="C60">
        <f t="shared" si="3"/>
        <v>0.55919290347074679</v>
      </c>
      <c r="D60">
        <f t="shared" si="4"/>
        <v>0.82903757255504174</v>
      </c>
      <c r="F60" s="7">
        <f t="shared" si="5"/>
        <v>1.6775787104122404</v>
      </c>
      <c r="G60" s="7">
        <f t="shared" si="6"/>
        <v>2.4871127176651253</v>
      </c>
      <c r="H60" s="7">
        <f t="shared" si="0"/>
        <v>1.1183858069414936</v>
      </c>
      <c r="I60" s="7">
        <f t="shared" si="7"/>
        <v>1.6580751451100835</v>
      </c>
      <c r="J60" s="7">
        <f t="shared" si="1"/>
        <v>0.55919290347074679</v>
      </c>
      <c r="K60" s="7">
        <f t="shared" si="8"/>
        <v>0.82903757255504174</v>
      </c>
    </row>
    <row r="61" spans="1:37">
      <c r="A61">
        <f t="shared" si="2"/>
        <v>0.99483767363676778</v>
      </c>
      <c r="B61">
        <v>57</v>
      </c>
      <c r="C61">
        <f t="shared" si="3"/>
        <v>0.5446390350150272</v>
      </c>
      <c r="D61">
        <f t="shared" si="4"/>
        <v>0.83867056794542394</v>
      </c>
      <c r="F61" s="7">
        <f t="shared" si="5"/>
        <v>1.6339171050450816</v>
      </c>
      <c r="G61" s="7">
        <f t="shared" si="6"/>
        <v>2.5160117038362717</v>
      </c>
      <c r="H61" s="7">
        <f t="shared" si="0"/>
        <v>1.0892780700300544</v>
      </c>
      <c r="I61" s="7">
        <f t="shared" si="7"/>
        <v>1.6773411358908479</v>
      </c>
      <c r="J61" s="7">
        <f t="shared" si="1"/>
        <v>0.5446390350150272</v>
      </c>
      <c r="K61" s="7">
        <f t="shared" si="8"/>
        <v>0.83867056794542394</v>
      </c>
    </row>
    <row r="62" spans="1:37">
      <c r="A62">
        <f t="shared" si="2"/>
        <v>1.0122909661567112</v>
      </c>
      <c r="B62">
        <v>58</v>
      </c>
      <c r="C62">
        <f t="shared" si="3"/>
        <v>0.5299192642332049</v>
      </c>
      <c r="D62">
        <f t="shared" si="4"/>
        <v>0.84804809615642596</v>
      </c>
      <c r="F62" s="7">
        <f t="shared" si="5"/>
        <v>1.5897577926996147</v>
      </c>
      <c r="G62" s="7">
        <f t="shared" si="6"/>
        <v>2.544144288469278</v>
      </c>
      <c r="H62" s="7">
        <f t="shared" si="0"/>
        <v>1.0598385284664098</v>
      </c>
      <c r="I62" s="7">
        <f t="shared" si="7"/>
        <v>1.6960961923128519</v>
      </c>
      <c r="J62" s="7">
        <f t="shared" si="1"/>
        <v>0.5299192642332049</v>
      </c>
      <c r="K62" s="7">
        <f t="shared" si="8"/>
        <v>0.84804809615642596</v>
      </c>
    </row>
    <row r="63" spans="1:37">
      <c r="A63">
        <f t="shared" si="2"/>
        <v>1.0297442586766543</v>
      </c>
      <c r="B63">
        <v>59</v>
      </c>
      <c r="C63">
        <f t="shared" si="3"/>
        <v>0.51503807491005438</v>
      </c>
      <c r="D63">
        <f t="shared" si="4"/>
        <v>0.85716730070211222</v>
      </c>
      <c r="F63" s="7">
        <f t="shared" si="5"/>
        <v>1.5451142247301632</v>
      </c>
      <c r="G63" s="7">
        <f t="shared" si="6"/>
        <v>2.5715019021063368</v>
      </c>
      <c r="H63" s="7">
        <f t="shared" si="0"/>
        <v>1.0300761498201088</v>
      </c>
      <c r="I63" s="7">
        <f t="shared" si="7"/>
        <v>1.7143346014042244</v>
      </c>
      <c r="J63" s="7">
        <f t="shared" si="1"/>
        <v>0.51503807491005438</v>
      </c>
      <c r="K63" s="7">
        <f t="shared" si="8"/>
        <v>0.85716730070211222</v>
      </c>
    </row>
    <row r="64" spans="1:37">
      <c r="A64">
        <f t="shared" si="2"/>
        <v>1.0471975511965976</v>
      </c>
      <c r="B64">
        <v>60</v>
      </c>
      <c r="C64">
        <f t="shared" si="3"/>
        <v>0.50000000000000011</v>
      </c>
      <c r="D64">
        <f t="shared" si="4"/>
        <v>0.8660254037844386</v>
      </c>
      <c r="F64" s="7">
        <f t="shared" si="5"/>
        <v>1.5000000000000004</v>
      </c>
      <c r="G64" s="7">
        <f t="shared" si="6"/>
        <v>2.598076211353316</v>
      </c>
      <c r="H64" s="7">
        <f t="shared" si="0"/>
        <v>1.0000000000000002</v>
      </c>
      <c r="I64" s="7">
        <f t="shared" si="7"/>
        <v>1.7320508075688772</v>
      </c>
      <c r="J64" s="7">
        <f t="shared" si="1"/>
        <v>0.50000000000000011</v>
      </c>
      <c r="K64" s="7">
        <f t="shared" si="8"/>
        <v>0.8660254037844386</v>
      </c>
    </row>
    <row r="65" spans="1:11">
      <c r="A65">
        <f t="shared" si="2"/>
        <v>1.064650843716541</v>
      </c>
      <c r="B65">
        <v>61</v>
      </c>
      <c r="C65">
        <f t="shared" si="3"/>
        <v>0.48480962024633711</v>
      </c>
      <c r="D65">
        <f t="shared" si="4"/>
        <v>0.87461970713939574</v>
      </c>
      <c r="F65" s="7">
        <f t="shared" si="5"/>
        <v>1.4544288607390112</v>
      </c>
      <c r="G65" s="7">
        <f t="shared" si="6"/>
        <v>2.623859121418187</v>
      </c>
      <c r="H65" s="7">
        <f t="shared" si="0"/>
        <v>0.96961924049267423</v>
      </c>
      <c r="I65" s="7">
        <f t="shared" si="7"/>
        <v>1.7492394142787915</v>
      </c>
      <c r="J65" s="7">
        <f t="shared" si="1"/>
        <v>0.48480962024633711</v>
      </c>
      <c r="K65" s="7">
        <f t="shared" si="8"/>
        <v>0.87461970713939574</v>
      </c>
    </row>
    <row r="66" spans="1:11">
      <c r="A66">
        <f t="shared" si="2"/>
        <v>1.0821041362364843</v>
      </c>
      <c r="B66">
        <v>62</v>
      </c>
      <c r="C66">
        <f t="shared" si="3"/>
        <v>0.46947156278589086</v>
      </c>
      <c r="D66">
        <f t="shared" si="4"/>
        <v>0.88294759285892688</v>
      </c>
      <c r="F66" s="7">
        <f t="shared" si="5"/>
        <v>1.4084146883576727</v>
      </c>
      <c r="G66" s="7">
        <f t="shared" si="6"/>
        <v>2.6488427785767805</v>
      </c>
      <c r="H66" s="7">
        <f t="shared" si="0"/>
        <v>0.93894312557178172</v>
      </c>
      <c r="I66" s="7">
        <f t="shared" si="7"/>
        <v>1.7658951857178538</v>
      </c>
      <c r="J66" s="7">
        <f t="shared" si="1"/>
        <v>0.46947156278589086</v>
      </c>
      <c r="K66" s="7">
        <f t="shared" si="8"/>
        <v>0.88294759285892688</v>
      </c>
    </row>
    <row r="67" spans="1:11">
      <c r="A67">
        <f t="shared" si="2"/>
        <v>1.0995574287564276</v>
      </c>
      <c r="B67">
        <v>63</v>
      </c>
      <c r="C67">
        <f t="shared" si="3"/>
        <v>0.4539904997395468</v>
      </c>
      <c r="D67">
        <f t="shared" si="4"/>
        <v>0.89100652418836779</v>
      </c>
      <c r="F67" s="7">
        <f t="shared" si="5"/>
        <v>1.3619714992186405</v>
      </c>
      <c r="G67" s="7">
        <f t="shared" si="6"/>
        <v>2.6730195725651034</v>
      </c>
      <c r="H67" s="7">
        <f t="shared" si="0"/>
        <v>0.90798099947909361</v>
      </c>
      <c r="I67" s="7">
        <f t="shared" si="7"/>
        <v>1.7820130483767356</v>
      </c>
      <c r="J67" s="7">
        <f t="shared" si="1"/>
        <v>0.4539904997395468</v>
      </c>
      <c r="K67" s="7">
        <f t="shared" si="8"/>
        <v>0.89100652418836779</v>
      </c>
    </row>
    <row r="68" spans="1:11">
      <c r="A68">
        <f t="shared" si="2"/>
        <v>1.1170107212763709</v>
      </c>
      <c r="B68">
        <v>64</v>
      </c>
      <c r="C68">
        <f t="shared" si="3"/>
        <v>0.43837114678907746</v>
      </c>
      <c r="D68">
        <f t="shared" si="4"/>
        <v>0.89879404629916704</v>
      </c>
      <c r="F68" s="7">
        <f t="shared" si="5"/>
        <v>1.3151134403672324</v>
      </c>
      <c r="G68" s="7">
        <f t="shared" si="6"/>
        <v>2.6963821388975013</v>
      </c>
      <c r="H68" s="7">
        <f t="shared" si="0"/>
        <v>0.87674229357815492</v>
      </c>
      <c r="I68" s="7">
        <f t="shared" si="7"/>
        <v>1.7975880925983341</v>
      </c>
      <c r="J68" s="7">
        <f t="shared" si="1"/>
        <v>0.43837114678907746</v>
      </c>
      <c r="K68" s="7">
        <f t="shared" si="8"/>
        <v>0.89879404629916704</v>
      </c>
    </row>
    <row r="69" spans="1:11">
      <c r="A69">
        <f t="shared" ref="A69:A93" si="17">B69/180*PI()</f>
        <v>1.1344640137963142</v>
      </c>
      <c r="B69">
        <v>65</v>
      </c>
      <c r="C69">
        <f t="shared" ref="C69:C94" si="18">COS(A69)</f>
        <v>0.42261826174069944</v>
      </c>
      <c r="D69">
        <f t="shared" ref="D69:D94" si="19">SIN(A69)</f>
        <v>0.90630778703664994</v>
      </c>
      <c r="F69" s="7">
        <f t="shared" si="5"/>
        <v>1.2678547852220983</v>
      </c>
      <c r="G69" s="7">
        <f t="shared" si="6"/>
        <v>2.7189233611099497</v>
      </c>
      <c r="H69" s="7">
        <f t="shared" ref="H69:H94" si="20">($J$4-H$4+1)*$C69</f>
        <v>0.84523652348139888</v>
      </c>
      <c r="I69" s="7">
        <f t="shared" si="7"/>
        <v>1.8126155740732999</v>
      </c>
      <c r="J69" s="7">
        <f t="shared" ref="J69:J94" si="21">($J$4-J$4+1)*$C69</f>
        <v>0.42261826174069944</v>
      </c>
      <c r="K69" s="7">
        <f t="shared" si="8"/>
        <v>0.90630778703664994</v>
      </c>
    </row>
    <row r="70" spans="1:11">
      <c r="A70">
        <f t="shared" si="17"/>
        <v>1.1519173063162573</v>
      </c>
      <c r="B70">
        <v>66</v>
      </c>
      <c r="C70">
        <f t="shared" si="18"/>
        <v>0.40673664307580037</v>
      </c>
      <c r="D70">
        <f t="shared" si="19"/>
        <v>0.91354545764260087</v>
      </c>
      <c r="F70" s="7">
        <f t="shared" ref="F70:F94" si="22">($J$4-F$4+1)*$C70</f>
        <v>1.2202099292274011</v>
      </c>
      <c r="G70" s="7">
        <f t="shared" ref="G70:G94" si="23">($J$4-F$4+1)*$D70</f>
        <v>2.7406363729278027</v>
      </c>
      <c r="H70" s="7">
        <f t="shared" si="20"/>
        <v>0.81347328615160075</v>
      </c>
      <c r="I70" s="7">
        <f t="shared" ref="I70:I94" si="24">($J$4-H$4+1)*$D70</f>
        <v>1.8270909152852017</v>
      </c>
      <c r="J70" s="7">
        <f t="shared" si="21"/>
        <v>0.40673664307580037</v>
      </c>
      <c r="K70" s="7">
        <f t="shared" ref="K70:K94" si="25">($J$4-J$4+1)*$D70</f>
        <v>0.91354545764260087</v>
      </c>
    </row>
    <row r="71" spans="1:11">
      <c r="A71">
        <f t="shared" si="17"/>
        <v>1.1693705988362009</v>
      </c>
      <c r="B71">
        <v>67</v>
      </c>
      <c r="C71">
        <f t="shared" si="18"/>
        <v>0.39073112848927372</v>
      </c>
      <c r="D71">
        <f t="shared" si="19"/>
        <v>0.92050485345244037</v>
      </c>
      <c r="F71" s="7">
        <f t="shared" si="22"/>
        <v>1.1721933854678213</v>
      </c>
      <c r="G71" s="7">
        <f t="shared" si="23"/>
        <v>2.761514560357321</v>
      </c>
      <c r="H71" s="7">
        <f t="shared" si="20"/>
        <v>0.78146225697854743</v>
      </c>
      <c r="I71" s="7">
        <f t="shared" si="24"/>
        <v>1.8410097069048807</v>
      </c>
      <c r="J71" s="7">
        <f t="shared" si="21"/>
        <v>0.39073112848927372</v>
      </c>
      <c r="K71" s="7">
        <f t="shared" si="25"/>
        <v>0.92050485345244037</v>
      </c>
    </row>
    <row r="72" spans="1:11">
      <c r="A72">
        <f t="shared" si="17"/>
        <v>1.186823891356144</v>
      </c>
      <c r="B72">
        <v>68</v>
      </c>
      <c r="C72">
        <f t="shared" si="18"/>
        <v>0.37460659341591218</v>
      </c>
      <c r="D72">
        <f t="shared" si="19"/>
        <v>0.92718385456678731</v>
      </c>
      <c r="F72" s="7">
        <f t="shared" si="22"/>
        <v>1.1238197802477365</v>
      </c>
      <c r="G72" s="7">
        <f t="shared" si="23"/>
        <v>2.7815515637003618</v>
      </c>
      <c r="H72" s="7">
        <f t="shared" si="20"/>
        <v>0.74921318683182436</v>
      </c>
      <c r="I72" s="7">
        <f t="shared" si="24"/>
        <v>1.8543677091335746</v>
      </c>
      <c r="J72" s="7">
        <f t="shared" si="21"/>
        <v>0.37460659341591218</v>
      </c>
      <c r="K72" s="7">
        <f t="shared" si="25"/>
        <v>0.92718385456678731</v>
      </c>
    </row>
    <row r="73" spans="1:11">
      <c r="A73">
        <f t="shared" si="17"/>
        <v>1.2042771838760875</v>
      </c>
      <c r="B73">
        <v>69</v>
      </c>
      <c r="C73">
        <f t="shared" si="18"/>
        <v>0.35836794954530016</v>
      </c>
      <c r="D73">
        <f t="shared" si="19"/>
        <v>0.93358042649720174</v>
      </c>
      <c r="F73" s="7">
        <f t="shared" si="22"/>
        <v>1.0751038486359006</v>
      </c>
      <c r="G73" s="7">
        <f t="shared" si="23"/>
        <v>2.8007412794916053</v>
      </c>
      <c r="H73" s="7">
        <f t="shared" si="20"/>
        <v>0.71673589909060031</v>
      </c>
      <c r="I73" s="7">
        <f t="shared" si="24"/>
        <v>1.8671608529944035</v>
      </c>
      <c r="J73" s="7">
        <f t="shared" si="21"/>
        <v>0.35836794954530016</v>
      </c>
      <c r="K73" s="7">
        <f t="shared" si="25"/>
        <v>0.93358042649720174</v>
      </c>
    </row>
    <row r="74" spans="1:11">
      <c r="A74">
        <f t="shared" si="17"/>
        <v>1.2217304763960306</v>
      </c>
      <c r="B74">
        <v>70</v>
      </c>
      <c r="C74">
        <f t="shared" si="18"/>
        <v>0.34202014332566882</v>
      </c>
      <c r="D74">
        <f t="shared" si="19"/>
        <v>0.93969262078590832</v>
      </c>
      <c r="F74" s="7">
        <f t="shared" si="22"/>
        <v>1.0260604299770064</v>
      </c>
      <c r="G74" s="7">
        <f t="shared" si="23"/>
        <v>2.8190778623577248</v>
      </c>
      <c r="H74" s="7">
        <f t="shared" si="20"/>
        <v>0.68404028665133765</v>
      </c>
      <c r="I74" s="7">
        <f t="shared" si="24"/>
        <v>1.8793852415718166</v>
      </c>
      <c r="J74" s="7">
        <f t="shared" si="21"/>
        <v>0.34202014332566882</v>
      </c>
      <c r="K74" s="7">
        <f t="shared" si="25"/>
        <v>0.93969262078590832</v>
      </c>
    </row>
    <row r="75" spans="1:11">
      <c r="A75">
        <f t="shared" si="17"/>
        <v>1.2391837689159739</v>
      </c>
      <c r="B75">
        <v>71</v>
      </c>
      <c r="C75">
        <f t="shared" si="18"/>
        <v>0.32556815445715676</v>
      </c>
      <c r="D75">
        <f t="shared" si="19"/>
        <v>0.94551857559931674</v>
      </c>
      <c r="F75" s="7">
        <f t="shared" si="22"/>
        <v>0.97670446337147032</v>
      </c>
      <c r="G75" s="7">
        <f t="shared" si="23"/>
        <v>2.8365557267979504</v>
      </c>
      <c r="H75" s="7">
        <f t="shared" si="20"/>
        <v>0.65113630891431351</v>
      </c>
      <c r="I75" s="7">
        <f t="shared" si="24"/>
        <v>1.8910371511986335</v>
      </c>
      <c r="J75" s="7">
        <f t="shared" si="21"/>
        <v>0.32556815445715676</v>
      </c>
      <c r="K75" s="7">
        <f t="shared" si="25"/>
        <v>0.94551857559931674</v>
      </c>
    </row>
    <row r="76" spans="1:11">
      <c r="A76">
        <f t="shared" si="17"/>
        <v>1.2566370614359172</v>
      </c>
      <c r="B76">
        <v>72</v>
      </c>
      <c r="C76">
        <f t="shared" si="18"/>
        <v>0.30901699437494745</v>
      </c>
      <c r="D76">
        <f t="shared" si="19"/>
        <v>0.95105651629515353</v>
      </c>
      <c r="F76" s="7">
        <f t="shared" si="22"/>
        <v>0.92705098312484235</v>
      </c>
      <c r="G76" s="7">
        <f t="shared" si="23"/>
        <v>2.8531695488854605</v>
      </c>
      <c r="H76" s="7">
        <f t="shared" si="20"/>
        <v>0.6180339887498949</v>
      </c>
      <c r="I76" s="7">
        <f t="shared" si="24"/>
        <v>1.9021130325903071</v>
      </c>
      <c r="J76" s="7">
        <f t="shared" si="21"/>
        <v>0.30901699437494745</v>
      </c>
      <c r="K76" s="7">
        <f t="shared" si="25"/>
        <v>0.95105651629515353</v>
      </c>
    </row>
    <row r="77" spans="1:11">
      <c r="A77">
        <f t="shared" si="17"/>
        <v>1.2740903539558606</v>
      </c>
      <c r="B77">
        <v>73</v>
      </c>
      <c r="C77">
        <f t="shared" si="18"/>
        <v>0.29237170472273677</v>
      </c>
      <c r="D77">
        <f t="shared" si="19"/>
        <v>0.95630475596303544</v>
      </c>
      <c r="F77" s="7">
        <f t="shared" si="22"/>
        <v>0.87711511416821031</v>
      </c>
      <c r="G77" s="7">
        <f t="shared" si="23"/>
        <v>2.8689142678891062</v>
      </c>
      <c r="H77" s="7">
        <f t="shared" si="20"/>
        <v>0.58474340944547354</v>
      </c>
      <c r="I77" s="7">
        <f t="shared" si="24"/>
        <v>1.9126095119260709</v>
      </c>
      <c r="J77" s="7">
        <f t="shared" si="21"/>
        <v>0.29237170472273677</v>
      </c>
      <c r="K77" s="7">
        <f t="shared" si="25"/>
        <v>0.95630475596303544</v>
      </c>
    </row>
    <row r="78" spans="1:11">
      <c r="A78">
        <f t="shared" si="17"/>
        <v>1.2915436464758039</v>
      </c>
      <c r="B78">
        <v>74</v>
      </c>
      <c r="C78">
        <f t="shared" si="18"/>
        <v>0.27563735581699916</v>
      </c>
      <c r="D78">
        <f t="shared" si="19"/>
        <v>0.96126169593831889</v>
      </c>
      <c r="F78" s="7">
        <f t="shared" si="22"/>
        <v>0.82691206745099755</v>
      </c>
      <c r="G78" s="7">
        <f t="shared" si="23"/>
        <v>2.8837850878149567</v>
      </c>
      <c r="H78" s="7">
        <f t="shared" si="20"/>
        <v>0.55127471163399833</v>
      </c>
      <c r="I78" s="7">
        <f t="shared" si="24"/>
        <v>1.9225233918766378</v>
      </c>
      <c r="J78" s="7">
        <f t="shared" si="21"/>
        <v>0.27563735581699916</v>
      </c>
      <c r="K78" s="7">
        <f t="shared" si="25"/>
        <v>0.96126169593831889</v>
      </c>
    </row>
    <row r="79" spans="1:11">
      <c r="A79">
        <f t="shared" si="17"/>
        <v>1.3089969389957472</v>
      </c>
      <c r="B79">
        <v>75</v>
      </c>
      <c r="C79">
        <f t="shared" si="18"/>
        <v>0.25881904510252074</v>
      </c>
      <c r="D79">
        <f t="shared" si="19"/>
        <v>0.96592582628906831</v>
      </c>
      <c r="F79" s="7">
        <f t="shared" si="22"/>
        <v>0.77645713530756222</v>
      </c>
      <c r="G79" s="7">
        <f t="shared" si="23"/>
        <v>2.897777478867205</v>
      </c>
      <c r="H79" s="7">
        <f t="shared" si="20"/>
        <v>0.51763809020504148</v>
      </c>
      <c r="I79" s="7">
        <f t="shared" si="24"/>
        <v>1.9318516525781366</v>
      </c>
      <c r="J79" s="7">
        <f t="shared" si="21"/>
        <v>0.25881904510252074</v>
      </c>
      <c r="K79" s="7">
        <f t="shared" si="25"/>
        <v>0.96592582628906831</v>
      </c>
    </row>
    <row r="80" spans="1:11">
      <c r="A80">
        <f t="shared" si="17"/>
        <v>1.3264502315156905</v>
      </c>
      <c r="B80">
        <v>76</v>
      </c>
      <c r="C80">
        <f t="shared" si="18"/>
        <v>0.24192189559966767</v>
      </c>
      <c r="D80">
        <f t="shared" si="19"/>
        <v>0.97029572627599647</v>
      </c>
      <c r="F80" s="7">
        <f t="shared" si="22"/>
        <v>0.725765686799003</v>
      </c>
      <c r="G80" s="7">
        <f t="shared" si="23"/>
        <v>2.9108871788279895</v>
      </c>
      <c r="H80" s="7">
        <f t="shared" si="20"/>
        <v>0.48384379119933535</v>
      </c>
      <c r="I80" s="7">
        <f t="shared" si="24"/>
        <v>1.9405914525519929</v>
      </c>
      <c r="J80" s="7">
        <f t="shared" si="21"/>
        <v>0.24192189559966767</v>
      </c>
      <c r="K80" s="7">
        <f t="shared" si="25"/>
        <v>0.97029572627599647</v>
      </c>
    </row>
    <row r="81" spans="1:11">
      <c r="A81">
        <f t="shared" si="17"/>
        <v>1.3439035240356336</v>
      </c>
      <c r="B81">
        <v>77</v>
      </c>
      <c r="C81">
        <f t="shared" si="18"/>
        <v>0.22495105434386514</v>
      </c>
      <c r="D81">
        <f t="shared" si="19"/>
        <v>0.97437006478523525</v>
      </c>
      <c r="F81" s="7">
        <f t="shared" si="22"/>
        <v>0.67485316303159548</v>
      </c>
      <c r="G81" s="7">
        <f t="shared" si="23"/>
        <v>2.9231101943557056</v>
      </c>
      <c r="H81" s="7">
        <f t="shared" si="20"/>
        <v>0.44990210868773028</v>
      </c>
      <c r="I81" s="7">
        <f t="shared" si="24"/>
        <v>1.9487401295704705</v>
      </c>
      <c r="J81" s="7">
        <f t="shared" si="21"/>
        <v>0.22495105434386514</v>
      </c>
      <c r="K81" s="7">
        <f t="shared" si="25"/>
        <v>0.97437006478523525</v>
      </c>
    </row>
    <row r="82" spans="1:11">
      <c r="A82">
        <f t="shared" si="17"/>
        <v>1.3613568165555772</v>
      </c>
      <c r="B82">
        <v>78</v>
      </c>
      <c r="C82">
        <f t="shared" si="18"/>
        <v>0.20791169081775923</v>
      </c>
      <c r="D82">
        <f t="shared" si="19"/>
        <v>0.97814760073380569</v>
      </c>
      <c r="F82" s="7">
        <f t="shared" si="22"/>
        <v>0.62373507245327775</v>
      </c>
      <c r="G82" s="7">
        <f t="shared" si="23"/>
        <v>2.9344428022014171</v>
      </c>
      <c r="H82" s="7">
        <f t="shared" si="20"/>
        <v>0.41582338163551846</v>
      </c>
      <c r="I82" s="7">
        <f t="shared" si="24"/>
        <v>1.9562952014676114</v>
      </c>
      <c r="J82" s="7">
        <f t="shared" si="21"/>
        <v>0.20791169081775923</v>
      </c>
      <c r="K82" s="7">
        <f t="shared" si="25"/>
        <v>0.97814760073380569</v>
      </c>
    </row>
    <row r="83" spans="1:11">
      <c r="A83">
        <f t="shared" si="17"/>
        <v>1.3788101090755203</v>
      </c>
      <c r="B83">
        <v>79</v>
      </c>
      <c r="C83">
        <f t="shared" si="18"/>
        <v>0.19080899537654492</v>
      </c>
      <c r="D83">
        <f t="shared" si="19"/>
        <v>0.98162718344766398</v>
      </c>
      <c r="F83" s="7">
        <f t="shared" si="22"/>
        <v>0.57242698612963472</v>
      </c>
      <c r="G83" s="7">
        <f t="shared" si="23"/>
        <v>2.9448815503429921</v>
      </c>
      <c r="H83" s="7">
        <f t="shared" si="20"/>
        <v>0.38161799075308983</v>
      </c>
      <c r="I83" s="7">
        <f t="shared" si="24"/>
        <v>1.963254366895328</v>
      </c>
      <c r="J83" s="7">
        <f t="shared" si="21"/>
        <v>0.19080899537654492</v>
      </c>
      <c r="K83" s="7">
        <f t="shared" si="25"/>
        <v>0.98162718344766398</v>
      </c>
    </row>
    <row r="84" spans="1:11">
      <c r="A84">
        <f t="shared" si="17"/>
        <v>1.3962634015954636</v>
      </c>
      <c r="B84">
        <v>80</v>
      </c>
      <c r="C84">
        <f t="shared" si="18"/>
        <v>0.17364817766693041</v>
      </c>
      <c r="D84">
        <f t="shared" si="19"/>
        <v>0.98480775301220802</v>
      </c>
      <c r="F84" s="7">
        <f t="shared" si="22"/>
        <v>0.52094453300079124</v>
      </c>
      <c r="G84" s="7">
        <f t="shared" si="23"/>
        <v>2.9544232590366239</v>
      </c>
      <c r="H84" s="7">
        <f t="shared" si="20"/>
        <v>0.34729635533386083</v>
      </c>
      <c r="I84" s="7">
        <f t="shared" si="24"/>
        <v>1.969615506024416</v>
      </c>
      <c r="J84" s="7">
        <f t="shared" si="21"/>
        <v>0.17364817766693041</v>
      </c>
      <c r="K84" s="7">
        <f t="shared" si="25"/>
        <v>0.98480775301220802</v>
      </c>
    </row>
    <row r="85" spans="1:11">
      <c r="A85">
        <f t="shared" si="17"/>
        <v>1.4137166941154069</v>
      </c>
      <c r="B85">
        <v>81</v>
      </c>
      <c r="C85">
        <f t="shared" si="18"/>
        <v>0.15643446504023092</v>
      </c>
      <c r="D85">
        <f t="shared" si="19"/>
        <v>0.98768834059513777</v>
      </c>
      <c r="F85" s="7">
        <f t="shared" si="22"/>
        <v>0.46930339512069275</v>
      </c>
      <c r="G85" s="7">
        <f t="shared" si="23"/>
        <v>2.9630650217854133</v>
      </c>
      <c r="H85" s="7">
        <f t="shared" si="20"/>
        <v>0.31286893008046185</v>
      </c>
      <c r="I85" s="7">
        <f t="shared" si="24"/>
        <v>1.9753766811902755</v>
      </c>
      <c r="J85" s="7">
        <f t="shared" si="21"/>
        <v>0.15643446504023092</v>
      </c>
      <c r="K85" s="7">
        <f t="shared" si="25"/>
        <v>0.98768834059513777</v>
      </c>
    </row>
    <row r="86" spans="1:11">
      <c r="A86">
        <f t="shared" si="17"/>
        <v>1.4311699866353502</v>
      </c>
      <c r="B86">
        <v>82</v>
      </c>
      <c r="C86">
        <f t="shared" si="18"/>
        <v>0.13917310096006547</v>
      </c>
      <c r="D86">
        <f t="shared" si="19"/>
        <v>0.99026806874157036</v>
      </c>
      <c r="F86" s="7">
        <f t="shared" si="22"/>
        <v>0.4175193028801964</v>
      </c>
      <c r="G86" s="7">
        <f t="shared" si="23"/>
        <v>2.9708042062247113</v>
      </c>
      <c r="H86" s="7">
        <f t="shared" si="20"/>
        <v>0.27834620192013093</v>
      </c>
      <c r="I86" s="7">
        <f t="shared" si="24"/>
        <v>1.9805361374831407</v>
      </c>
      <c r="J86" s="7">
        <f t="shared" si="21"/>
        <v>0.13917310096006547</v>
      </c>
      <c r="K86" s="7">
        <f t="shared" si="25"/>
        <v>0.99026806874157036</v>
      </c>
    </row>
    <row r="87" spans="1:11">
      <c r="A87">
        <f t="shared" si="17"/>
        <v>1.4486232791552935</v>
      </c>
      <c r="B87">
        <v>83</v>
      </c>
      <c r="C87">
        <f t="shared" si="18"/>
        <v>0.12186934340514749</v>
      </c>
      <c r="D87">
        <f t="shared" si="19"/>
        <v>0.99254615164132198</v>
      </c>
      <c r="F87" s="7">
        <f t="shared" si="22"/>
        <v>0.36560803021544247</v>
      </c>
      <c r="G87" s="7">
        <f t="shared" si="23"/>
        <v>2.9776384549239658</v>
      </c>
      <c r="H87" s="7">
        <f t="shared" si="20"/>
        <v>0.24373868681029498</v>
      </c>
      <c r="I87" s="7">
        <f t="shared" si="24"/>
        <v>1.985092303282644</v>
      </c>
      <c r="J87" s="7">
        <f t="shared" si="21"/>
        <v>0.12186934340514749</v>
      </c>
      <c r="K87" s="7">
        <f t="shared" si="25"/>
        <v>0.99254615164132198</v>
      </c>
    </row>
    <row r="88" spans="1:11">
      <c r="A88">
        <f t="shared" si="17"/>
        <v>1.4660765716752369</v>
      </c>
      <c r="B88">
        <v>84</v>
      </c>
      <c r="C88">
        <f t="shared" si="18"/>
        <v>0.10452846326765346</v>
      </c>
      <c r="D88">
        <f t="shared" si="19"/>
        <v>0.99452189536827329</v>
      </c>
      <c r="F88" s="7">
        <f t="shared" si="22"/>
        <v>0.31358538980296036</v>
      </c>
      <c r="G88" s="7">
        <f t="shared" si="23"/>
        <v>2.9835656861048196</v>
      </c>
      <c r="H88" s="7">
        <f t="shared" si="20"/>
        <v>0.20905692653530691</v>
      </c>
      <c r="I88" s="7">
        <f t="shared" si="24"/>
        <v>1.9890437907365466</v>
      </c>
      <c r="J88" s="7">
        <f t="shared" si="21"/>
        <v>0.10452846326765346</v>
      </c>
      <c r="K88" s="7">
        <f t="shared" si="25"/>
        <v>0.99452189536827329</v>
      </c>
    </row>
    <row r="89" spans="1:11">
      <c r="A89">
        <f t="shared" si="17"/>
        <v>1.48352986419518</v>
      </c>
      <c r="B89">
        <v>85</v>
      </c>
      <c r="C89">
        <f t="shared" si="18"/>
        <v>8.715574274765836E-2</v>
      </c>
      <c r="D89">
        <f t="shared" si="19"/>
        <v>0.99619469809174555</v>
      </c>
      <c r="F89" s="7">
        <f t="shared" si="22"/>
        <v>0.26146722824297508</v>
      </c>
      <c r="G89" s="7">
        <f t="shared" si="23"/>
        <v>2.9885840942752369</v>
      </c>
      <c r="H89" s="7">
        <f t="shared" si="20"/>
        <v>0.17431148549531672</v>
      </c>
      <c r="I89" s="7">
        <f t="shared" si="24"/>
        <v>1.9923893961834911</v>
      </c>
      <c r="J89" s="7">
        <f t="shared" si="21"/>
        <v>8.715574274765836E-2</v>
      </c>
      <c r="K89" s="7">
        <f t="shared" si="25"/>
        <v>0.99619469809174555</v>
      </c>
    </row>
    <row r="90" spans="1:11">
      <c r="A90">
        <f t="shared" si="17"/>
        <v>1.5009831567151235</v>
      </c>
      <c r="B90">
        <v>86</v>
      </c>
      <c r="C90">
        <f t="shared" si="18"/>
        <v>6.9756473744125233E-2</v>
      </c>
      <c r="D90">
        <f t="shared" si="19"/>
        <v>0.9975640502598242</v>
      </c>
      <c r="F90" s="7">
        <f t="shared" si="22"/>
        <v>0.20926942123237569</v>
      </c>
      <c r="G90" s="7">
        <f t="shared" si="23"/>
        <v>2.9926921507794724</v>
      </c>
      <c r="H90" s="7">
        <f t="shared" si="20"/>
        <v>0.13951294748825047</v>
      </c>
      <c r="I90" s="7">
        <f t="shared" si="24"/>
        <v>1.9951281005196484</v>
      </c>
      <c r="J90" s="7">
        <f t="shared" si="21"/>
        <v>6.9756473744125233E-2</v>
      </c>
      <c r="K90" s="7">
        <f t="shared" si="25"/>
        <v>0.9975640502598242</v>
      </c>
    </row>
    <row r="91" spans="1:11">
      <c r="A91">
        <f t="shared" si="17"/>
        <v>1.5184364492350666</v>
      </c>
      <c r="B91">
        <v>87</v>
      </c>
      <c r="C91">
        <f t="shared" si="18"/>
        <v>5.2335956242943966E-2</v>
      </c>
      <c r="D91">
        <f t="shared" si="19"/>
        <v>0.99862953475457383</v>
      </c>
      <c r="F91" s="7">
        <f t="shared" si="22"/>
        <v>0.15700786872883191</v>
      </c>
      <c r="G91" s="7">
        <f t="shared" si="23"/>
        <v>2.9958886042637216</v>
      </c>
      <c r="H91" s="7">
        <f t="shared" si="20"/>
        <v>0.10467191248588793</v>
      </c>
      <c r="I91" s="7">
        <f t="shared" si="24"/>
        <v>1.9972590695091477</v>
      </c>
      <c r="J91" s="7">
        <f t="shared" si="21"/>
        <v>5.2335956242943966E-2</v>
      </c>
      <c r="K91" s="7">
        <f t="shared" si="25"/>
        <v>0.99862953475457383</v>
      </c>
    </row>
    <row r="92" spans="1:11">
      <c r="A92">
        <f t="shared" si="17"/>
        <v>1.5358897417550099</v>
      </c>
      <c r="B92">
        <v>88</v>
      </c>
      <c r="C92">
        <f t="shared" si="18"/>
        <v>3.489949670250108E-2</v>
      </c>
      <c r="D92">
        <f t="shared" si="19"/>
        <v>0.99939082701909576</v>
      </c>
      <c r="F92" s="7">
        <f t="shared" si="22"/>
        <v>0.10469849010750323</v>
      </c>
      <c r="G92" s="7">
        <f t="shared" si="23"/>
        <v>2.9981724810572872</v>
      </c>
      <c r="H92" s="7">
        <f t="shared" si="20"/>
        <v>6.979899340500216E-2</v>
      </c>
      <c r="I92" s="7">
        <f t="shared" si="24"/>
        <v>1.9987816540381915</v>
      </c>
      <c r="J92" s="7">
        <f t="shared" si="21"/>
        <v>3.489949670250108E-2</v>
      </c>
      <c r="K92" s="7">
        <f t="shared" si="25"/>
        <v>0.99939082701909576</v>
      </c>
    </row>
    <row r="93" spans="1:11">
      <c r="A93">
        <f t="shared" si="17"/>
        <v>1.5533430342749532</v>
      </c>
      <c r="B93">
        <v>89</v>
      </c>
      <c r="C93">
        <f t="shared" si="18"/>
        <v>1.7452406437283598E-2</v>
      </c>
      <c r="D93">
        <f t="shared" si="19"/>
        <v>0.99984769515639127</v>
      </c>
      <c r="F93" s="7">
        <f t="shared" si="22"/>
        <v>5.2357219311850792E-2</v>
      </c>
      <c r="G93" s="7">
        <f t="shared" si="23"/>
        <v>2.999543085469174</v>
      </c>
      <c r="H93" s="7">
        <f t="shared" si="20"/>
        <v>3.4904812874567197E-2</v>
      </c>
      <c r="I93" s="7">
        <f t="shared" si="24"/>
        <v>1.9996953903127825</v>
      </c>
      <c r="J93" s="7">
        <f t="shared" si="21"/>
        <v>1.7452406437283598E-2</v>
      </c>
      <c r="K93" s="7">
        <f t="shared" si="25"/>
        <v>0.99984769515639127</v>
      </c>
    </row>
    <row r="94" spans="1:11">
      <c r="A94">
        <f>(B94/180)*PI()</f>
        <v>1.5707963267948966</v>
      </c>
      <c r="B94">
        <v>90</v>
      </c>
      <c r="C94">
        <f t="shared" si="18"/>
        <v>6.1257422745431001E-17</v>
      </c>
      <c r="D94">
        <f t="shared" si="19"/>
        <v>1</v>
      </c>
      <c r="F94" s="7">
        <f t="shared" si="22"/>
        <v>1.83772268236293E-16</v>
      </c>
      <c r="G94" s="7">
        <f t="shared" si="23"/>
        <v>3</v>
      </c>
      <c r="H94" s="7">
        <f t="shared" si="20"/>
        <v>1.22514845490862E-16</v>
      </c>
      <c r="I94" s="7">
        <f t="shared" si="24"/>
        <v>2</v>
      </c>
      <c r="J94" s="7">
        <f t="shared" si="21"/>
        <v>6.1257422745431001E-17</v>
      </c>
      <c r="K94" s="7">
        <f t="shared" si="25"/>
        <v>1</v>
      </c>
    </row>
  </sheetData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4"/>
  <sheetViews>
    <sheetView tabSelected="1" topLeftCell="P1" zoomScale="55" zoomScaleNormal="55" workbookViewId="0">
      <selection activeCell="X37" sqref="X37"/>
    </sheetView>
  </sheetViews>
  <sheetFormatPr defaultRowHeight="15"/>
  <cols>
    <col min="1" max="1" width="23.5703125" bestFit="1" customWidth="1"/>
    <col min="2" max="2" width="11.42578125" customWidth="1"/>
    <col min="3" max="3" width="19.42578125" bestFit="1" customWidth="1"/>
    <col min="4" max="4" width="11.85546875" bestFit="1" customWidth="1"/>
    <col min="5" max="5" width="11.85546875" customWidth="1"/>
    <col min="6" max="6" width="22.28515625" customWidth="1"/>
    <col min="7" max="9" width="11.85546875" customWidth="1"/>
    <col min="10" max="11" width="10.140625" customWidth="1"/>
    <col min="12" max="15" width="11.85546875" customWidth="1"/>
    <col min="16" max="16" width="44.5703125" bestFit="1" customWidth="1"/>
    <col min="17" max="17" width="14.7109375" bestFit="1" customWidth="1"/>
    <col min="18" max="18" width="9.42578125" bestFit="1" customWidth="1"/>
    <col min="21" max="21" width="9.140625" customWidth="1"/>
  </cols>
  <sheetData>
    <row r="1" spans="1:18">
      <c r="A1" s="3" t="s">
        <v>26</v>
      </c>
      <c r="B1" s="3" t="s">
        <v>27</v>
      </c>
      <c r="C1" s="3" t="s">
        <v>42</v>
      </c>
      <c r="D1" s="3" t="s">
        <v>29</v>
      </c>
      <c r="E1" s="3" t="s">
        <v>2</v>
      </c>
      <c r="F1" s="3" t="s">
        <v>30</v>
      </c>
      <c r="G1" s="3" t="s">
        <v>31</v>
      </c>
      <c r="H1" s="3" t="s">
        <v>0</v>
      </c>
      <c r="I1" s="3" t="s">
        <v>1</v>
      </c>
      <c r="J1" s="4" t="s">
        <v>43</v>
      </c>
      <c r="K1" s="4" t="s">
        <v>45</v>
      </c>
      <c r="L1" s="4" t="s">
        <v>44</v>
      </c>
      <c r="M1" s="4" t="s">
        <v>48</v>
      </c>
      <c r="N1" s="4" t="s">
        <v>46</v>
      </c>
      <c r="O1" s="4" t="s">
        <v>47</v>
      </c>
      <c r="P1" s="4" t="s">
        <v>7</v>
      </c>
      <c r="Q1" s="3" t="s">
        <v>53</v>
      </c>
      <c r="R1" s="4" t="s">
        <v>49</v>
      </c>
    </row>
    <row r="2" spans="1:18">
      <c r="A2" t="s">
        <v>54</v>
      </c>
      <c r="B2" s="5">
        <f>IF(Table4[[#This Row],[Cat]]="1. Advanced Analytics",1,IF(Table4[[#This Row],[Cat]]="2. Standardize, simplify and enhance BI content",2,IF(Table4[[#This Row],[Cat]]="3. Simplify processes&amp;admin burden reduction",3,4)))</f>
        <v>1</v>
      </c>
      <c r="C2">
        <f>IF(Table4[[#This Row],[Status]]="Red",1,IF(Table4[[#This Row],[Status]]="Amber",2,3))</f>
        <v>2</v>
      </c>
      <c r="D2">
        <v>202002</v>
      </c>
      <c r="E2">
        <f>2021-_xlfn.FLOOR.MATH(Table4[[#This Row],[Time]]/100)+1-(Table4[[#This Row],[Time]]-_xlfn.FLOOR.MATH(Table4[[#This Row],[Time]]/100)*100)/12</f>
        <v>1.8333333333333333</v>
      </c>
      <c r="F2">
        <v>0.3</v>
      </c>
      <c r="G2" s="5">
        <f>(INDEX(Chart!$X$14:$X$17,MATCH(Table4[[#This Row],[Category]],Chart!$V$14:$V$17,0))+Table4[[#This Row],[a_frac (0 - 1)]]*INDEX(Chart!$W$14:$W$17,MATCH(Table4[[#This Row],[Category]],Chart!$V$14:$V$17,0)))/180*PI()</f>
        <v>7.8539816339744828E-2</v>
      </c>
      <c r="H2">
        <f>COS(Table4[[#This Row],[alpha]])*Table4[[#This Row],[r]]</f>
        <v>1.8276817785107344</v>
      </c>
      <c r="I2">
        <f>SIN(Table4[[#This Row],[alpha]])*Table4[[#This Row],[r]]</f>
        <v>0.14384167550104907</v>
      </c>
      <c r="J2" t="e">
        <f>IF(Table4[[#This Row],[Project Status]]=1,Table4[[#This Row],[x]],NA())</f>
        <v>#N/A</v>
      </c>
      <c r="K2" t="e">
        <f>IF(Table4[[#This Row],[Project Status]]=1,Table4[[#This Row],[y]],NA())</f>
        <v>#N/A</v>
      </c>
      <c r="L2" s="5">
        <f>IF(Table4[[#This Row],[Project Status]]=2,Table4[[#This Row],[x]],NA())</f>
        <v>1.8276817785107344</v>
      </c>
      <c r="M2" s="5">
        <f>IF(Table4[[#This Row],[Project Status]]=2,Table4[[#This Row],[y]],NA())</f>
        <v>0.14384167550104907</v>
      </c>
      <c r="N2" s="5" t="e">
        <f>IF(Table4[[#This Row],[Project Status]]=3,Table4[[#This Row],[x]],NA())</f>
        <v>#N/A</v>
      </c>
      <c r="O2" s="5" t="e">
        <f>IF(Table4[[#This Row],[Project Status]]=3,Table4[[#This Row],[y]],NA())</f>
        <v>#N/A</v>
      </c>
      <c r="P2" s="5" t="s">
        <v>87</v>
      </c>
      <c r="Q2" s="5"/>
      <c r="R2" s="5" t="s">
        <v>52</v>
      </c>
    </row>
    <row r="3" spans="1:18">
      <c r="A3" t="s">
        <v>64</v>
      </c>
      <c r="B3" s="5">
        <f>IF(Table4[[#This Row],[Cat]]="1. Advanced Analytics",1,IF(Table4[[#This Row],[Cat]]="2. Standardize, simplify and enhance BI content",2,IF(Table4[[#This Row],[Cat]]="3. Simplify processes&amp;admin burden reduction",3,4)))</f>
        <v>1</v>
      </c>
      <c r="C3">
        <f>IF(Table4[[#This Row],[Status]]="Red",1,IF(Table4[[#This Row],[Status]]="Amber",2,3))</f>
        <v>3</v>
      </c>
      <c r="D3">
        <v>201904</v>
      </c>
      <c r="E3">
        <f>2021-_xlfn.FLOOR.MATH(Table4[[#This Row],[Time]]/100)+1-(Table4[[#This Row],[Time]]-_xlfn.FLOOR.MATH(Table4[[#This Row],[Time]]/100)*100)/12</f>
        <v>2.6666666666666665</v>
      </c>
      <c r="F3">
        <v>0.59</v>
      </c>
      <c r="G3" s="5">
        <f>(INDEX(Chart!$X$14:$X$17,MATCH(Table4[[#This Row],[Category]],Chart!$V$14:$V$17,0))+Table4[[#This Row],[a_frac (0 - 1)]]*INDEX(Chart!$W$14:$W$17,MATCH(Table4[[#This Row],[Category]],Chart!$V$14:$V$17,0)))/180*PI()</f>
        <v>0.15446163880149816</v>
      </c>
      <c r="H3">
        <f>COS(Table4[[#This Row],[alpha]])*Table4[[#This Row],[r]]</f>
        <v>2.6349186662571822</v>
      </c>
      <c r="I3">
        <f>SIN(Table4[[#This Row],[alpha]])*Table4[[#This Row],[r]]</f>
        <v>0.41026178632744009</v>
      </c>
      <c r="J3" t="e">
        <f>IF(Table4[[#This Row],[Project Status]]=1,Table4[[#This Row],[x]],NA())</f>
        <v>#N/A</v>
      </c>
      <c r="K3" t="e">
        <f>IF(Table4[[#This Row],[Project Status]]=1,Table4[[#This Row],[y]],NA())</f>
        <v>#N/A</v>
      </c>
      <c r="L3" s="5" t="e">
        <f>IF(Table4[[#This Row],[Project Status]]=2,Table4[[#This Row],[x]],NA())</f>
        <v>#N/A</v>
      </c>
      <c r="M3" s="5" t="e">
        <f>IF(Table4[[#This Row],[Project Status]]=2,Table4[[#This Row],[y]],NA())</f>
        <v>#N/A</v>
      </c>
      <c r="N3" s="5">
        <f>IF(Table4[[#This Row],[Project Status]]=3,Table4[[#This Row],[x]],NA())</f>
        <v>2.6349186662571822</v>
      </c>
      <c r="O3" s="5">
        <f>IF(Table4[[#This Row],[Project Status]]=3,Table4[[#This Row],[y]],NA())</f>
        <v>0.41026178632744009</v>
      </c>
      <c r="P3" s="5" t="s">
        <v>87</v>
      </c>
      <c r="Q3" s="5"/>
      <c r="R3" s="5" t="s">
        <v>50</v>
      </c>
    </row>
    <row r="4" spans="1:18">
      <c r="A4" t="s">
        <v>65</v>
      </c>
      <c r="B4" s="5">
        <f>IF(Table4[[#This Row],[Cat]]="1. Advanced Analytics",1,IF(Table4[[#This Row],[Cat]]="2. Standardize, simplify and enhance BI content",2,IF(Table4[[#This Row],[Cat]]="3. Simplify processes&amp;admin burden reduction",3,4)))</f>
        <v>1</v>
      </c>
      <c r="C4">
        <f>IF(Table4[[#This Row],[Status]]="Red",1,IF(Table4[[#This Row],[Status]]="Amber",2,3))</f>
        <v>2</v>
      </c>
      <c r="D4">
        <v>202102</v>
      </c>
      <c r="E4">
        <f>2021-_xlfn.FLOOR.MATH(Table4[[#This Row],[Time]]/100)+1-(Table4[[#This Row],[Time]]-_xlfn.FLOOR.MATH(Table4[[#This Row],[Time]]/100)*100)/12</f>
        <v>0.83333333333333337</v>
      </c>
      <c r="F4">
        <v>0.47</v>
      </c>
      <c r="G4" s="5">
        <f>(INDEX(Chart!$X$14:$X$17,MATCH(Table4[[#This Row],[Category]],Chart!$V$14:$V$17,0))+Table4[[#This Row],[a_frac (0 - 1)]]*INDEX(Chart!$W$14:$W$17,MATCH(Table4[[#This Row],[Category]],Chart!$V$14:$V$17,0)))/180*PI()</f>
        <v>0.12304571226560024</v>
      </c>
      <c r="H4">
        <f>COS(Table4[[#This Row],[alpha]])*Table4[[#This Row],[r]]</f>
        <v>0.8270328522135848</v>
      </c>
      <c r="I4">
        <f>SIN(Table4[[#This Row],[alpha]])*Table4[[#This Row],[r]]</f>
        <v>0.10227954733917903</v>
      </c>
      <c r="J4" t="e">
        <f>IF(Table4[[#This Row],[Project Status]]=1,Table4[[#This Row],[x]],NA())</f>
        <v>#N/A</v>
      </c>
      <c r="K4" t="e">
        <f>IF(Table4[[#This Row],[Project Status]]=1,Table4[[#This Row],[y]],NA())</f>
        <v>#N/A</v>
      </c>
      <c r="L4" s="5">
        <f>IF(Table4[[#This Row],[Project Status]]=2,Table4[[#This Row],[x]],NA())</f>
        <v>0.8270328522135848</v>
      </c>
      <c r="M4" s="5">
        <f>IF(Table4[[#This Row],[Project Status]]=2,Table4[[#This Row],[y]],NA())</f>
        <v>0.10227954733917903</v>
      </c>
      <c r="N4" s="5" t="e">
        <f>IF(Table4[[#This Row],[Project Status]]=3,Table4[[#This Row],[x]],NA())</f>
        <v>#N/A</v>
      </c>
      <c r="O4" s="5" t="e">
        <f>IF(Table4[[#This Row],[Project Status]]=3,Table4[[#This Row],[y]],NA())</f>
        <v>#N/A</v>
      </c>
      <c r="P4" s="5" t="s">
        <v>87</v>
      </c>
      <c r="Q4" s="5"/>
      <c r="R4" s="5" t="s">
        <v>52</v>
      </c>
    </row>
    <row r="5" spans="1:18">
      <c r="A5" t="s">
        <v>58</v>
      </c>
      <c r="B5" s="5">
        <f>IF(Table4[[#This Row],[Cat]]="1. Advanced Analytics",1,IF(Table4[[#This Row],[Cat]]="2. Standardize, simplify and enhance BI content",2,IF(Table4[[#This Row],[Cat]]="3. Simplify processes&amp;admin burden reduction",3,4)))</f>
        <v>1</v>
      </c>
      <c r="C5">
        <f>IF(Table4[[#This Row],[Status]]="Red",1,IF(Table4[[#This Row],[Status]]="Amber",2,3))</f>
        <v>2</v>
      </c>
      <c r="D5">
        <v>201911</v>
      </c>
      <c r="E5">
        <f>2021-_xlfn.FLOOR.MATH(Table4[[#This Row],[Time]]/100)+1-(Table4[[#This Row],[Time]]-_xlfn.FLOOR.MATH(Table4[[#This Row],[Time]]/100)*100)/12</f>
        <v>2.0833333333333335</v>
      </c>
      <c r="F5">
        <v>0.62</v>
      </c>
      <c r="G5" s="5">
        <f>(INDEX(Chart!$X$14:$X$17,MATCH(Table4[[#This Row],[Category]],Chart!$V$14:$V$17,0))+Table4[[#This Row],[a_frac (0 - 1)]]*INDEX(Chart!$W$14:$W$17,MATCH(Table4[[#This Row],[Category]],Chart!$V$14:$V$17,0)))/180*PI()</f>
        <v>0.16231562043547265</v>
      </c>
      <c r="H5">
        <f>COS(Table4[[#This Row],[alpha]])*Table4[[#This Row],[r]]</f>
        <v>2.0559494091808488</v>
      </c>
      <c r="I5">
        <f>SIN(Table4[[#This Row],[alpha]])*Table4[[#This Row],[r]]</f>
        <v>0.33667462729866904</v>
      </c>
      <c r="J5" t="e">
        <f>IF(Table4[[#This Row],[Project Status]]=1,Table4[[#This Row],[x]],NA())</f>
        <v>#N/A</v>
      </c>
      <c r="K5" t="e">
        <f>IF(Table4[[#This Row],[Project Status]]=1,Table4[[#This Row],[y]],NA())</f>
        <v>#N/A</v>
      </c>
      <c r="L5" s="5">
        <f>IF(Table4[[#This Row],[Project Status]]=2,Table4[[#This Row],[x]],NA())</f>
        <v>2.0559494091808488</v>
      </c>
      <c r="M5" s="5">
        <f>IF(Table4[[#This Row],[Project Status]]=2,Table4[[#This Row],[y]],NA())</f>
        <v>0.33667462729866904</v>
      </c>
      <c r="N5" s="5" t="e">
        <f>IF(Table4[[#This Row],[Project Status]]=3,Table4[[#This Row],[x]],NA())</f>
        <v>#N/A</v>
      </c>
      <c r="O5" s="5" t="e">
        <f>IF(Table4[[#This Row],[Project Status]]=3,Table4[[#This Row],[y]],NA())</f>
        <v>#N/A</v>
      </c>
      <c r="P5" s="5" t="s">
        <v>87</v>
      </c>
      <c r="Q5" s="5"/>
      <c r="R5" s="5" t="s">
        <v>52</v>
      </c>
    </row>
    <row r="6" spans="1:18">
      <c r="A6" t="s">
        <v>55</v>
      </c>
      <c r="B6" s="5">
        <f>IF(Table4[[#This Row],[Cat]]="1. Advanced Analytics",1,IF(Table4[[#This Row],[Cat]]="2. Standardize, simplify and enhance BI content",2,IF(Table4[[#This Row],[Cat]]="3. Simplify processes&amp;admin burden reduction",3,4)))</f>
        <v>2</v>
      </c>
      <c r="C6">
        <f>IF(Table4[[#This Row],[Status]]="Red",1,IF(Table4[[#This Row],[Status]]="Amber",2,3))</f>
        <v>2</v>
      </c>
      <c r="D6">
        <v>201911</v>
      </c>
      <c r="E6">
        <f>2021-_xlfn.FLOOR.MATH(Table4[[#This Row],[Time]]/100)+1-(Table4[[#This Row],[Time]]-_xlfn.FLOOR.MATH(Table4[[#This Row],[Time]]/100)*100)/12</f>
        <v>2.0833333333333335</v>
      </c>
      <c r="F6">
        <v>0.65</v>
      </c>
      <c r="G6" s="5">
        <f>(INDEX(Chart!$X$14:$X$17,MATCH(Table4[[#This Row],[Category]],Chart!$V$14:$V$17,0))+Table4[[#This Row],[a_frac (0 - 1)]]*INDEX(Chart!$W$14:$W$17,MATCH(Table4[[#This Row],[Category]],Chart!$V$14:$V$17,0)))/180*PI()</f>
        <v>0.60213859193804375</v>
      </c>
      <c r="H6">
        <f>COS(Table4[[#This Row],[alpha]])*Table4[[#This Row],[r]]</f>
        <v>1.7169295596291994</v>
      </c>
      <c r="I6">
        <f>SIN(Table4[[#This Row],[alpha]])*Table4[[#This Row],[r]]</f>
        <v>1.1800129935934018</v>
      </c>
      <c r="J6" t="e">
        <f>IF(Table4[[#This Row],[Project Status]]=1,Table4[[#This Row],[x]],NA())</f>
        <v>#N/A</v>
      </c>
      <c r="K6" t="e">
        <f>IF(Table4[[#This Row],[Project Status]]=1,Table4[[#This Row],[y]],NA())</f>
        <v>#N/A</v>
      </c>
      <c r="L6" s="5">
        <f>IF(Table4[[#This Row],[Project Status]]=2,Table4[[#This Row],[x]],NA())</f>
        <v>1.7169295596291994</v>
      </c>
      <c r="M6" s="5">
        <f>IF(Table4[[#This Row],[Project Status]]=2,Table4[[#This Row],[y]],NA())</f>
        <v>1.1800129935934018</v>
      </c>
      <c r="N6" s="5" t="e">
        <f>IF(Table4[[#This Row],[Project Status]]=3,Table4[[#This Row],[x]],NA())</f>
        <v>#N/A</v>
      </c>
      <c r="O6" s="5" t="e">
        <f>IF(Table4[[#This Row],[Project Status]]=3,Table4[[#This Row],[y]],NA())</f>
        <v>#N/A</v>
      </c>
      <c r="P6" s="5" t="s">
        <v>88</v>
      </c>
      <c r="Q6" s="5"/>
      <c r="R6" s="5" t="s">
        <v>52</v>
      </c>
    </row>
    <row r="7" spans="1:18">
      <c r="A7" t="s">
        <v>56</v>
      </c>
      <c r="B7" s="5">
        <f>IF(Table4[[#This Row],[Cat]]="1. Advanced Analytics",1,IF(Table4[[#This Row],[Cat]]="2. Standardize, simplify and enhance BI content",2,IF(Table4[[#This Row],[Cat]]="3. Simplify processes&amp;admin burden reduction",3,4)))</f>
        <v>3</v>
      </c>
      <c r="C7">
        <f>IF(Table4[[#This Row],[Status]]="Red",1,IF(Table4[[#This Row],[Status]]="Amber",2,3))</f>
        <v>3</v>
      </c>
      <c r="D7">
        <v>202012</v>
      </c>
      <c r="E7">
        <f>2021-_xlfn.FLOOR.MATH(Table4[[#This Row],[Time]]/100)+1-(Table4[[#This Row],[Time]]-_xlfn.FLOOR.MATH(Table4[[#This Row],[Time]]/100)*100)/12</f>
        <v>1</v>
      </c>
      <c r="F7">
        <v>0.82</v>
      </c>
      <c r="G7" s="5">
        <f>(INDEX(Chart!$X$14:$X$17,MATCH(Table4[[#This Row],[Category]],Chart!$V$14:$V$17,0))+Table4[[#This Row],[a_frac (0 - 1)]]*INDEX(Chart!$W$14:$W$17,MATCH(Table4[[#This Row],[Category]],Chart!$V$14:$V$17,0)))/180*PI()</f>
        <v>1.0716321607245183</v>
      </c>
      <c r="H7">
        <f>COS(Table4[[#This Row],[alpha]])*Table4[[#This Row],[r]]</f>
        <v>0.47869185794060687</v>
      </c>
      <c r="I7">
        <f>SIN(Table4[[#This Row],[alpha]])*Table4[[#This Row],[r]]</f>
        <v>0.87798297542798054</v>
      </c>
      <c r="J7" t="e">
        <f>IF(Table4[[#This Row],[Project Status]]=1,Table4[[#This Row],[x]],NA())</f>
        <v>#N/A</v>
      </c>
      <c r="K7" t="e">
        <f>IF(Table4[[#This Row],[Project Status]]=1,Table4[[#This Row],[y]],NA())</f>
        <v>#N/A</v>
      </c>
      <c r="L7" s="5" t="e">
        <f>IF(Table4[[#This Row],[Project Status]]=2,Table4[[#This Row],[x]],NA())</f>
        <v>#N/A</v>
      </c>
      <c r="M7" s="5" t="e">
        <f>IF(Table4[[#This Row],[Project Status]]=2,Table4[[#This Row],[y]],NA())</f>
        <v>#N/A</v>
      </c>
      <c r="N7" s="5">
        <f>IF(Table4[[#This Row],[Project Status]]=3,Table4[[#This Row],[x]],NA())</f>
        <v>0.47869185794060687</v>
      </c>
      <c r="O7" s="5">
        <f>IF(Table4[[#This Row],[Project Status]]=3,Table4[[#This Row],[y]],NA())</f>
        <v>0.87798297542798054</v>
      </c>
      <c r="P7" s="5" t="s">
        <v>77</v>
      </c>
      <c r="Q7" s="5"/>
      <c r="R7" s="5" t="s">
        <v>50</v>
      </c>
    </row>
    <row r="8" spans="1:18">
      <c r="A8" t="s">
        <v>57</v>
      </c>
      <c r="B8" s="5">
        <f>IF(Table4[[#This Row],[Cat]]="1. Advanced Analytics",1,IF(Table4[[#This Row],[Cat]]="2. Standardize, simplify and enhance BI content",2,IF(Table4[[#This Row],[Cat]]="3. Simplify processes&amp;admin burden reduction",3,4)))</f>
        <v>3</v>
      </c>
      <c r="C8">
        <f>IF(Table4[[#This Row],[Status]]="Red",1,IF(Table4[[#This Row],[Status]]="Amber",2,3))</f>
        <v>2</v>
      </c>
      <c r="D8">
        <v>201912</v>
      </c>
      <c r="E8">
        <f>2021-_xlfn.FLOOR.MATH(Table4[[#This Row],[Time]]/100)+1-(Table4[[#This Row],[Time]]-_xlfn.FLOOR.MATH(Table4[[#This Row],[Time]]/100)*100)/12</f>
        <v>2</v>
      </c>
      <c r="F8">
        <v>0.59</v>
      </c>
      <c r="G8" s="5">
        <f>(INDEX(Chart!$X$14:$X$17,MATCH(Table4[[#This Row],[Category]],Chart!$V$14:$V$17,0))+Table4[[#This Row],[a_frac (0 - 1)]]*INDEX(Chart!$W$14:$W$17,MATCH(Table4[[#This Row],[Category]],Chart!$V$14:$V$17,0)))/180*PI()</f>
        <v>0.99134701513277912</v>
      </c>
      <c r="H8">
        <f>COS(Table4[[#This Row],[alpha]])*Table4[[#This Row],[r]]</f>
        <v>1.0951264469851005</v>
      </c>
      <c r="I8">
        <f>SIN(Table4[[#This Row],[alpha]])*Table4[[#This Row],[r]]</f>
        <v>1.6735286269179233</v>
      </c>
      <c r="J8" t="e">
        <f>IF(Table4[[#This Row],[Project Status]]=1,Table4[[#This Row],[x]],NA())</f>
        <v>#N/A</v>
      </c>
      <c r="K8" t="e">
        <f>IF(Table4[[#This Row],[Project Status]]=1,Table4[[#This Row],[y]],NA())</f>
        <v>#N/A</v>
      </c>
      <c r="L8" s="5">
        <f>IF(Table4[[#This Row],[Project Status]]=2,Table4[[#This Row],[x]],NA())</f>
        <v>1.0951264469851005</v>
      </c>
      <c r="M8" s="5">
        <f>IF(Table4[[#This Row],[Project Status]]=2,Table4[[#This Row],[y]],NA())</f>
        <v>1.6735286269179233</v>
      </c>
      <c r="N8" s="5" t="e">
        <f>IF(Table4[[#This Row],[Project Status]]=3,Table4[[#This Row],[x]],NA())</f>
        <v>#N/A</v>
      </c>
      <c r="O8" s="5" t="e">
        <f>IF(Table4[[#This Row],[Project Status]]=3,Table4[[#This Row],[y]],NA())</f>
        <v>#N/A</v>
      </c>
      <c r="P8" s="5" t="s">
        <v>77</v>
      </c>
      <c r="Q8" s="5"/>
      <c r="R8" s="5" t="s">
        <v>52</v>
      </c>
    </row>
    <row r="9" spans="1:18">
      <c r="A9" t="s">
        <v>59</v>
      </c>
      <c r="B9" s="5">
        <f>IF(Table4[[#This Row],[Cat]]="1. Advanced Analytics",1,IF(Table4[[#This Row],[Cat]]="2. Standardize, simplify and enhance BI content",2,IF(Table4[[#This Row],[Cat]]="3. Simplify processes&amp;admin burden reduction",3,4)))</f>
        <v>4</v>
      </c>
      <c r="C9">
        <f>IF(Table4[[#This Row],[Status]]="Red",1,IF(Table4[[#This Row],[Status]]="Amber",2,3))</f>
        <v>2</v>
      </c>
      <c r="D9">
        <v>202102</v>
      </c>
      <c r="E9">
        <f>2021-_xlfn.FLOOR.MATH(Table4[[#This Row],[Time]]/100)+1-(Table4[[#This Row],[Time]]-_xlfn.FLOOR.MATH(Table4[[#This Row],[Time]]/100)*100)/12</f>
        <v>0.83333333333333337</v>
      </c>
      <c r="F9">
        <v>0.99</v>
      </c>
      <c r="G9" s="5">
        <f>(INDEX(Chart!$X$14:$X$17,MATCH(Table4[[#This Row],[Category]],Chart!$V$14:$V$17,0))+Table4[[#This Row],[a_frac (0 - 1)]]*INDEX(Chart!$W$14:$W$17,MATCH(Table4[[#This Row],[Category]],Chart!$V$14:$V$17,0)))/180*PI()</f>
        <v>1.5664330036649108</v>
      </c>
      <c r="H9">
        <f>COS(Table4[[#This Row],[alpha]])*Table4[[#This Row],[r]]</f>
        <v>3.6360910706221519E-3</v>
      </c>
      <c r="I9">
        <f>SIN(Table4[[#This Row],[alpha]])*Table4[[#This Row],[r]]</f>
        <v>0.83332540060061211</v>
      </c>
      <c r="J9" t="e">
        <f>IF(Table4[[#This Row],[Project Status]]=1,Table4[[#This Row],[x]],NA())</f>
        <v>#N/A</v>
      </c>
      <c r="K9" t="e">
        <f>IF(Table4[[#This Row],[Project Status]]=1,Table4[[#This Row],[y]],NA())</f>
        <v>#N/A</v>
      </c>
      <c r="L9" s="5">
        <f>IF(Table4[[#This Row],[Project Status]]=2,Table4[[#This Row],[x]],NA())</f>
        <v>3.6360910706221519E-3</v>
      </c>
      <c r="M9" s="5">
        <f>IF(Table4[[#This Row],[Project Status]]=2,Table4[[#This Row],[y]],NA())</f>
        <v>0.83332540060061211</v>
      </c>
      <c r="N9" s="5" t="e">
        <f>IF(Table4[[#This Row],[Project Status]]=3,Table4[[#This Row],[x]],NA())</f>
        <v>#N/A</v>
      </c>
      <c r="O9" s="5" t="e">
        <f>IF(Table4[[#This Row],[Project Status]]=3,Table4[[#This Row],[y]],NA())</f>
        <v>#N/A</v>
      </c>
      <c r="P9" s="5" t="s">
        <v>89</v>
      </c>
      <c r="Q9" s="5"/>
      <c r="R9" s="5" t="s">
        <v>52</v>
      </c>
    </row>
    <row r="10" spans="1:18">
      <c r="A10" t="s">
        <v>60</v>
      </c>
      <c r="B10" s="5">
        <f>IF(Table4[[#This Row],[Cat]]="1. Advanced Analytics",1,IF(Table4[[#This Row],[Cat]]="2. Standardize, simplify and enhance BI content",2,IF(Table4[[#This Row],[Cat]]="3. Simplify processes&amp;admin burden reduction",3,4)))</f>
        <v>4</v>
      </c>
      <c r="C10">
        <f>IF(Table4[[#This Row],[Status]]="Red",1,IF(Table4[[#This Row],[Status]]="Amber",2,3))</f>
        <v>2</v>
      </c>
      <c r="D10">
        <v>202002</v>
      </c>
      <c r="E10">
        <f>2021-_xlfn.FLOOR.MATH(Table4[[#This Row],[Time]]/100)+1-(Table4[[#This Row],[Time]]-_xlfn.FLOOR.MATH(Table4[[#This Row],[Time]]/100)*100)/12</f>
        <v>1.8333333333333333</v>
      </c>
      <c r="F10">
        <v>0.91</v>
      </c>
      <c r="G10" s="5">
        <f>(INDEX(Chart!$X$14:$X$17,MATCH(Table4[[#This Row],[Category]],Chart!$V$14:$V$17,0))+Table4[[#This Row],[a_frac (0 - 1)]]*INDEX(Chart!$W$14:$W$17,MATCH(Table4[[#This Row],[Category]],Chart!$V$14:$V$17,0)))/180*PI()</f>
        <v>1.5315264186250241</v>
      </c>
      <c r="H10">
        <f>COS(Table4[[#This Row],[alpha]])*Table4[[#This Row],[r]]</f>
        <v>7.197632889162589E-2</v>
      </c>
      <c r="I10">
        <f>SIN(Table4[[#This Row],[alpha]])*Table4[[#This Row],[r]]</f>
        <v>1.8319198997746586</v>
      </c>
      <c r="J10" t="e">
        <f>IF(Table4[[#This Row],[Project Status]]=1,Table4[[#This Row],[x]],NA())</f>
        <v>#N/A</v>
      </c>
      <c r="K10" t="e">
        <f>IF(Table4[[#This Row],[Project Status]]=1,Table4[[#This Row],[y]],NA())</f>
        <v>#N/A</v>
      </c>
      <c r="L10" s="5">
        <f>IF(Table4[[#This Row],[Project Status]]=2,Table4[[#This Row],[x]],NA())</f>
        <v>7.197632889162589E-2</v>
      </c>
      <c r="M10" s="5">
        <f>IF(Table4[[#This Row],[Project Status]]=2,Table4[[#This Row],[y]],NA())</f>
        <v>1.8319198997746586</v>
      </c>
      <c r="N10" s="5" t="e">
        <f>IF(Table4[[#This Row],[Project Status]]=3,Table4[[#This Row],[x]],NA())</f>
        <v>#N/A</v>
      </c>
      <c r="O10" s="5" t="e">
        <f>IF(Table4[[#This Row],[Project Status]]=3,Table4[[#This Row],[y]],NA())</f>
        <v>#N/A</v>
      </c>
      <c r="P10" s="5" t="s">
        <v>89</v>
      </c>
      <c r="Q10" s="5"/>
      <c r="R10" s="5" t="s">
        <v>52</v>
      </c>
    </row>
    <row r="11" spans="1:18">
      <c r="A11" t="s">
        <v>61</v>
      </c>
      <c r="B11" s="5">
        <f>IF(Table4[[#This Row],[Cat]]="1. Advanced Analytics",1,IF(Table4[[#This Row],[Cat]]="2. Standardize, simplify and enhance BI content",2,IF(Table4[[#This Row],[Cat]]="3. Simplify processes&amp;admin burden reduction",3,4)))</f>
        <v>4</v>
      </c>
      <c r="C11">
        <f>IF(Table4[[#This Row],[Status]]="Red",1,IF(Table4[[#This Row],[Status]]="Amber",2,3))</f>
        <v>2</v>
      </c>
      <c r="D11">
        <v>201909</v>
      </c>
      <c r="E11">
        <f>2021-_xlfn.FLOOR.MATH(Table4[[#This Row],[Time]]/100)+1-(Table4[[#This Row],[Time]]-_xlfn.FLOOR.MATH(Table4[[#This Row],[Time]]/100)*100)/12</f>
        <v>2.25</v>
      </c>
      <c r="F11">
        <v>0.23</v>
      </c>
      <c r="G11" s="5">
        <f>(INDEX(Chart!$X$14:$X$17,MATCH(Table4[[#This Row],[Category]],Chart!$V$14:$V$17,0))+Table4[[#This Row],[a_frac (0 - 1)]]*INDEX(Chart!$W$14:$W$17,MATCH(Table4[[#This Row],[Category]],Chart!$V$14:$V$17,0)))/180*PI()</f>
        <v>1.2348204457859882</v>
      </c>
      <c r="H11">
        <f>COS(Table4[[#This Row],[alpha]])*Table4[[#This Row],[r]]</f>
        <v>0.74180395184127146</v>
      </c>
      <c r="I11">
        <f>SIN(Table4[[#This Row],[alpha]])*Table4[[#This Row],[r]]</f>
        <v>2.1242002958837642</v>
      </c>
      <c r="J11" t="e">
        <f>IF(Table4[[#This Row],[Project Status]]=1,Table4[[#This Row],[x]],NA())</f>
        <v>#N/A</v>
      </c>
      <c r="K11" t="e">
        <f>IF(Table4[[#This Row],[Project Status]]=1,Table4[[#This Row],[y]],NA())</f>
        <v>#N/A</v>
      </c>
      <c r="L11" s="5">
        <f>IF(Table4[[#This Row],[Project Status]]=2,Table4[[#This Row],[x]],NA())</f>
        <v>0.74180395184127146</v>
      </c>
      <c r="M11" s="5">
        <f>IF(Table4[[#This Row],[Project Status]]=2,Table4[[#This Row],[y]],NA())</f>
        <v>2.1242002958837642</v>
      </c>
      <c r="N11" s="5" t="e">
        <f>IF(Table4[[#This Row],[Project Status]]=3,Table4[[#This Row],[x]],NA())</f>
        <v>#N/A</v>
      </c>
      <c r="O11" s="5" t="e">
        <f>IF(Table4[[#This Row],[Project Status]]=3,Table4[[#This Row],[y]],NA())</f>
        <v>#N/A</v>
      </c>
      <c r="P11" s="5" t="s">
        <v>89</v>
      </c>
      <c r="Q11" s="5"/>
      <c r="R11" s="5" t="s">
        <v>52</v>
      </c>
    </row>
    <row r="12" spans="1:18">
      <c r="A12" t="s">
        <v>62</v>
      </c>
      <c r="B12" s="5">
        <f>IF(Table4[[#This Row],[Cat]]="1. Advanced Analytics",1,IF(Table4[[#This Row],[Cat]]="2. Standardize, simplify and enhance BI content",2,IF(Table4[[#This Row],[Cat]]="3. Simplify processes&amp;admin burden reduction",3,4)))</f>
        <v>4</v>
      </c>
      <c r="C12">
        <f>IF(Table4[[#This Row],[Status]]="Red",1,IF(Table4[[#This Row],[Status]]="Amber",2,3))</f>
        <v>2</v>
      </c>
      <c r="D12">
        <v>202104</v>
      </c>
      <c r="E12">
        <f>2021-_xlfn.FLOOR.MATH(Table4[[#This Row],[Time]]/100)+1-(Table4[[#This Row],[Time]]-_xlfn.FLOOR.MATH(Table4[[#This Row],[Time]]/100)*100)/12</f>
        <v>0.66666666666666674</v>
      </c>
      <c r="F12">
        <v>0.7</v>
      </c>
      <c r="G12" s="5">
        <f>(INDEX(Chart!$X$14:$X$17,MATCH(Table4[[#This Row],[Category]],Chart!$V$14:$V$17,0))+Table4[[#This Row],[a_frac (0 - 1)]]*INDEX(Chart!$W$14:$W$17,MATCH(Table4[[#This Row],[Category]],Chart!$V$14:$V$17,0)))/180*PI()</f>
        <v>1.4398966328953218</v>
      </c>
      <c r="H12">
        <f>COS(Table4[[#This Row],[alpha]])*Table4[[#This Row],[r]]</f>
        <v>8.7017461480034489E-2</v>
      </c>
      <c r="I12">
        <f>SIN(Table4[[#This Row],[alpha]])*Table4[[#This Row],[r]]</f>
        <v>0.66096324091587366</v>
      </c>
      <c r="J12" t="e">
        <f>IF(Table4[[#This Row],[Project Status]]=1,Table4[[#This Row],[x]],NA())</f>
        <v>#N/A</v>
      </c>
      <c r="K12" t="e">
        <f>IF(Table4[[#This Row],[Project Status]]=1,Table4[[#This Row],[y]],NA())</f>
        <v>#N/A</v>
      </c>
      <c r="L12" s="5">
        <f>IF(Table4[[#This Row],[Project Status]]=2,Table4[[#This Row],[x]],NA())</f>
        <v>8.7017461480034489E-2</v>
      </c>
      <c r="M12" s="5">
        <f>IF(Table4[[#This Row],[Project Status]]=2,Table4[[#This Row],[y]],NA())</f>
        <v>0.66096324091587366</v>
      </c>
      <c r="N12" s="5" t="e">
        <f>IF(Table4[[#This Row],[Project Status]]=3,Table4[[#This Row],[x]],NA())</f>
        <v>#N/A</v>
      </c>
      <c r="O12" s="5" t="e">
        <f>IF(Table4[[#This Row],[Project Status]]=3,Table4[[#This Row],[y]],NA())</f>
        <v>#N/A</v>
      </c>
      <c r="P12" s="5" t="s">
        <v>89</v>
      </c>
      <c r="Q12" s="5"/>
      <c r="R12" s="5" t="s">
        <v>52</v>
      </c>
    </row>
    <row r="13" spans="1:18">
      <c r="A13" t="s">
        <v>63</v>
      </c>
      <c r="B13" s="5">
        <f>IF(Table4[[#This Row],[Cat]]="1. Advanced Analytics",1,IF(Table4[[#This Row],[Cat]]="2. Standardize, simplify and enhance BI content",2,IF(Table4[[#This Row],[Cat]]="3. Simplify processes&amp;admin burden reduction",3,4)))</f>
        <v>4</v>
      </c>
      <c r="C13">
        <f>IF(Table4[[#This Row],[Status]]="Red",1,IF(Table4[[#This Row],[Status]]="Amber",2,3))</f>
        <v>2</v>
      </c>
      <c r="D13">
        <v>202102</v>
      </c>
      <c r="E13">
        <f>2021-_xlfn.FLOOR.MATH(Table4[[#This Row],[Time]]/100)+1-(Table4[[#This Row],[Time]]-_xlfn.FLOOR.MATH(Table4[[#This Row],[Time]]/100)*100)/12</f>
        <v>0.83333333333333337</v>
      </c>
      <c r="F13">
        <v>0.98</v>
      </c>
      <c r="G13" s="5">
        <f>(INDEX(Chart!$X$14:$X$17,MATCH(Table4[[#This Row],[Category]],Chart!$V$14:$V$17,0))+Table4[[#This Row],[a_frac (0 - 1)]]*INDEX(Chart!$W$14:$W$17,MATCH(Table4[[#This Row],[Category]],Chart!$V$14:$V$17,0)))/180*PI()</f>
        <v>1.562069680534925</v>
      </c>
      <c r="H13">
        <f>COS(Table4[[#This Row],[alpha]])*Table4[[#This Row],[r]]</f>
        <v>7.2721129153115807E-3</v>
      </c>
      <c r="I13">
        <f>SIN(Table4[[#This Row],[alpha]])*Table4[[#This Row],[r]]</f>
        <v>0.83330160255347607</v>
      </c>
      <c r="J13" t="e">
        <f>IF(Table4[[#This Row],[Project Status]]=1,Table4[[#This Row],[x]],NA())</f>
        <v>#N/A</v>
      </c>
      <c r="K13" t="e">
        <f>IF(Table4[[#This Row],[Project Status]]=1,Table4[[#This Row],[y]],NA())</f>
        <v>#N/A</v>
      </c>
      <c r="L13" s="5">
        <f>IF(Table4[[#This Row],[Project Status]]=2,Table4[[#This Row],[x]],NA())</f>
        <v>7.2721129153115807E-3</v>
      </c>
      <c r="M13" s="5">
        <f>IF(Table4[[#This Row],[Project Status]]=2,Table4[[#This Row],[y]],NA())</f>
        <v>0.83330160255347607</v>
      </c>
      <c r="N13" s="5" t="e">
        <f>IF(Table4[[#This Row],[Project Status]]=3,Table4[[#This Row],[x]],NA())</f>
        <v>#N/A</v>
      </c>
      <c r="O13" s="5" t="e">
        <f>IF(Table4[[#This Row],[Project Status]]=3,Table4[[#This Row],[y]],NA())</f>
        <v>#N/A</v>
      </c>
      <c r="P13" s="5" t="s">
        <v>89</v>
      </c>
      <c r="Q13" s="5"/>
      <c r="R13" s="5" t="s">
        <v>52</v>
      </c>
    </row>
    <row r="14" spans="1:18">
      <c r="A14" t="s">
        <v>75</v>
      </c>
      <c r="B14" s="5">
        <f>IF(Table4[[#This Row],[Cat]]="1. Advanced Analytics",1,IF(Table4[[#This Row],[Cat]]="2. Standardize, simplify and enhance BI content",2,IF(Table4[[#This Row],[Cat]]="3. Simplify processes&amp;admin burden reduction",3,4)))</f>
        <v>3</v>
      </c>
      <c r="C14">
        <f>IF(Table4[[#This Row],[Status]]="Red",1,IF(Table4[[#This Row],[Status]]="Amber",2,3))</f>
        <v>3</v>
      </c>
      <c r="D14">
        <v>201912</v>
      </c>
      <c r="E14">
        <f>2021-_xlfn.FLOOR.MATH(Table4[[#This Row],[Time]]/100)+1-(Table4[[#This Row],[Time]]-_xlfn.FLOOR.MATH(Table4[[#This Row],[Time]]/100)*100)/12</f>
        <v>2</v>
      </c>
      <c r="F14">
        <v>0.71</v>
      </c>
      <c r="G14" s="5">
        <f>(INDEX(Chart!$X$14:$X$17,MATCH(Table4[[#This Row],[Category]],Chart!$V$14:$V$17,0))+Table4[[#This Row],[a_frac (0 - 1)]]*INDEX(Chart!$W$14:$W$17,MATCH(Table4[[#This Row],[Category]],Chart!$V$14:$V$17,0)))/180*PI()</f>
        <v>1.0332349171806432</v>
      </c>
      <c r="H14">
        <f>COS(Table4[[#This Row],[alpha]])*Table4[[#This Row],[r]]</f>
        <v>1.024085729741143</v>
      </c>
      <c r="I14">
        <f>SIN(Table4[[#This Row],[alpha]])*Table4[[#This Row],[r]]</f>
        <v>1.7179197938613289</v>
      </c>
      <c r="J14" t="e">
        <f>IF(Table4[[#This Row],[Project Status]]=1,Table4[[#This Row],[x]],NA())</f>
        <v>#N/A</v>
      </c>
      <c r="K14" t="e">
        <f>IF(Table4[[#This Row],[Project Status]]=1,Table4[[#This Row],[y]],NA())</f>
        <v>#N/A</v>
      </c>
      <c r="L14" s="5" t="e">
        <f>IF(Table4[[#This Row],[Project Status]]=2,Table4[[#This Row],[x]],NA())</f>
        <v>#N/A</v>
      </c>
      <c r="M14" s="5" t="e">
        <f>IF(Table4[[#This Row],[Project Status]]=2,Table4[[#This Row],[y]],NA())</f>
        <v>#N/A</v>
      </c>
      <c r="N14" s="5">
        <f>IF(Table4[[#This Row],[Project Status]]=3,Table4[[#This Row],[x]],NA())</f>
        <v>1.024085729741143</v>
      </c>
      <c r="O14" s="5">
        <f>IF(Table4[[#This Row],[Project Status]]=3,Table4[[#This Row],[y]],NA())</f>
        <v>1.7179197938613289</v>
      </c>
      <c r="P14" s="5" t="s">
        <v>77</v>
      </c>
      <c r="Q14" s="5" t="s">
        <v>74</v>
      </c>
      <c r="R14" s="5" t="s">
        <v>50</v>
      </c>
    </row>
    <row r="15" spans="1:18">
      <c r="A15" t="s">
        <v>76</v>
      </c>
      <c r="B15" s="5">
        <f>IF(Table4[[#This Row],[Cat]]="1. Advanced Analytics",1,IF(Table4[[#This Row],[Cat]]="2. Standardize, simplify and enhance BI content",2,IF(Table4[[#This Row],[Cat]]="3. Simplify processes&amp;admin burden reduction",3,4)))</f>
        <v>3</v>
      </c>
      <c r="C15">
        <f>IF(Table4[[#This Row],[Status]]="Red",1,IF(Table4[[#This Row],[Status]]="Amber",2,3))</f>
        <v>3</v>
      </c>
      <c r="D15">
        <v>201912</v>
      </c>
      <c r="E15">
        <f>2021-_xlfn.FLOOR.MATH(Table4[[#This Row],[Time]]/100)+1-(Table4[[#This Row],[Time]]-_xlfn.FLOOR.MATH(Table4[[#This Row],[Time]]/100)*100)/12</f>
        <v>2</v>
      </c>
      <c r="F15">
        <v>0.71</v>
      </c>
      <c r="G15" s="5">
        <f>(INDEX(Chart!$X$14:$X$17,MATCH(Table4[[#This Row],[Category]],Chart!$V$14:$V$17,0))+Table4[[#This Row],[a_frac (0 - 1)]]*INDEX(Chart!$W$14:$W$17,MATCH(Table4[[#This Row],[Category]],Chart!$V$14:$V$17,0)))/180*PI()</f>
        <v>1.0332349171806432</v>
      </c>
      <c r="H15">
        <f>COS(Table4[[#This Row],[alpha]])*Table4[[#This Row],[r]]</f>
        <v>1.024085729741143</v>
      </c>
      <c r="I15">
        <f>SIN(Table4[[#This Row],[alpha]])*Table4[[#This Row],[r]]</f>
        <v>1.7179197938613289</v>
      </c>
      <c r="J15" t="e">
        <f>IF(Table4[[#This Row],[Project Status]]=1,Table4[[#This Row],[x]],NA())</f>
        <v>#N/A</v>
      </c>
      <c r="K15" t="e">
        <f>IF(Table4[[#This Row],[Project Status]]=1,Table4[[#This Row],[y]],NA())</f>
        <v>#N/A</v>
      </c>
      <c r="L15" s="5" t="e">
        <f>IF(Table4[[#This Row],[Project Status]]=2,Table4[[#This Row],[x]],NA())</f>
        <v>#N/A</v>
      </c>
      <c r="M15" s="5" t="e">
        <f>IF(Table4[[#This Row],[Project Status]]=2,Table4[[#This Row],[y]],NA())</f>
        <v>#N/A</v>
      </c>
      <c r="N15" s="5">
        <f>IF(Table4[[#This Row],[Project Status]]=3,Table4[[#This Row],[x]],NA())</f>
        <v>1.024085729741143</v>
      </c>
      <c r="O15" s="5">
        <f>IF(Table4[[#This Row],[Project Status]]=3,Table4[[#This Row],[y]],NA())</f>
        <v>1.7179197938613289</v>
      </c>
      <c r="P15" s="5" t="s">
        <v>77</v>
      </c>
      <c r="Q15" s="5" t="s">
        <v>74</v>
      </c>
      <c r="R15" s="5" t="s">
        <v>50</v>
      </c>
    </row>
    <row r="16" spans="1:18">
      <c r="A16" t="s">
        <v>73</v>
      </c>
      <c r="B16" s="5">
        <f>IF(Table4[[#This Row],[Cat]]="1. Advanced Analytics",1,IF(Table4[[#This Row],[Cat]]="2. Standardize, simplify and enhance BI content",2,IF(Table4[[#This Row],[Cat]]="3. Simplify processes&amp;admin burden reduction",3,4)))</f>
        <v>3</v>
      </c>
      <c r="C16">
        <f>IF(Table4[[#This Row],[Status]]="Red",1,IF(Table4[[#This Row],[Status]]="Amber",2,3))</f>
        <v>1</v>
      </c>
      <c r="D16">
        <v>201906</v>
      </c>
      <c r="E16">
        <f>2021-_xlfn.FLOOR.MATH(Table4[[#This Row],[Time]]/100)+1-(Table4[[#This Row],[Time]]-_xlfn.FLOOR.MATH(Table4[[#This Row],[Time]]/100)*100)/12</f>
        <v>2.5</v>
      </c>
      <c r="F16">
        <v>0.71</v>
      </c>
      <c r="G16" s="5">
        <f>(INDEX(Chart!$X$14:$X$17,MATCH(Table4[[#This Row],[Category]],Chart!$V$14:$V$17,0))+Table4[[#This Row],[a_frac (0 - 1)]]*INDEX(Chart!$W$14:$W$17,MATCH(Table4[[#This Row],[Category]],Chart!$V$14:$V$17,0)))/180*PI()</f>
        <v>1.0332349171806432</v>
      </c>
      <c r="H16">
        <f>COS(Table4[[#This Row],[alpha]])*Table4[[#This Row],[r]]</f>
        <v>1.2801071621764288</v>
      </c>
      <c r="I16">
        <f>SIN(Table4[[#This Row],[alpha]])*Table4[[#This Row],[r]]</f>
        <v>2.1473997423266611</v>
      </c>
      <c r="J16">
        <f>IF(Table4[[#This Row],[Project Status]]=1,Table4[[#This Row],[x]],NA())</f>
        <v>1.2801071621764288</v>
      </c>
      <c r="K16">
        <f>IF(Table4[[#This Row],[Project Status]]=1,Table4[[#This Row],[y]],NA())</f>
        <v>2.1473997423266611</v>
      </c>
      <c r="L16" s="5" t="e">
        <f>IF(Table4[[#This Row],[Project Status]]=2,Table4[[#This Row],[x]],NA())</f>
        <v>#N/A</v>
      </c>
      <c r="M16" s="5" t="e">
        <f>IF(Table4[[#This Row],[Project Status]]=2,Table4[[#This Row],[y]],NA())</f>
        <v>#N/A</v>
      </c>
      <c r="N16" s="5" t="e">
        <f>IF(Table4[[#This Row],[Project Status]]=3,Table4[[#This Row],[x]],NA())</f>
        <v>#N/A</v>
      </c>
      <c r="O16" s="5" t="e">
        <f>IF(Table4[[#This Row],[Project Status]]=3,Table4[[#This Row],[y]],NA())</f>
        <v>#N/A</v>
      </c>
      <c r="P16" s="5" t="s">
        <v>77</v>
      </c>
      <c r="Q16" s="5" t="s">
        <v>74</v>
      </c>
      <c r="R16" s="5" t="s">
        <v>51</v>
      </c>
    </row>
    <row r="17" spans="1:18">
      <c r="A17" t="s">
        <v>86</v>
      </c>
      <c r="B17" s="5">
        <f>IF(Table4[[#This Row],[Cat]]="1. Advanced Analytics",1,IF(Table4[[#This Row],[Cat]]="2. Standardize, simplify and enhance BI content",2,IF(Table4[[#This Row],[Cat]]="3. Simplify processes&amp;admin burden reduction",3,4)))</f>
        <v>3</v>
      </c>
      <c r="C17">
        <f>IF(Table4[[#This Row],[Status]]="Red",1,IF(Table4[[#This Row],[Status]]="Amber",2,3))</f>
        <v>3</v>
      </c>
      <c r="D17">
        <v>201912</v>
      </c>
      <c r="E17">
        <f>2021-_xlfn.FLOOR.MATH(Table4[[#This Row],[Time]]/100)+1-(Table4[[#This Row],[Time]]-_xlfn.FLOOR.MATH(Table4[[#This Row],[Time]]/100)*100)/12</f>
        <v>2</v>
      </c>
      <c r="F17">
        <v>0.53</v>
      </c>
      <c r="G17" s="5">
        <f>(INDEX(Chart!$X$14:$X$17,MATCH(Table4[[#This Row],[Category]],Chart!$V$14:$V$17,0))+Table4[[#This Row],[a_frac (0 - 1)]]*INDEX(Chart!$W$14:$W$17,MATCH(Table4[[#This Row],[Category]],Chart!$V$14:$V$17,0)))/180*PI()</f>
        <v>0.97040306410884714</v>
      </c>
      <c r="H17">
        <f>COS(Table4[[#This Row],[alpha]])*Table4[[#This Row],[r]]</f>
        <v>1.129934006849876</v>
      </c>
      <c r="I17">
        <f>SIN(Table4[[#This Row],[alpha]])*Table4[[#This Row],[r]]</f>
        <v>1.6502269965565901</v>
      </c>
      <c r="J17" t="e">
        <f>IF(Table4[[#This Row],[Project Status]]=1,Table4[[#This Row],[x]],NA())</f>
        <v>#N/A</v>
      </c>
      <c r="K17" t="e">
        <f>IF(Table4[[#This Row],[Project Status]]=1,Table4[[#This Row],[y]],NA())</f>
        <v>#N/A</v>
      </c>
      <c r="L17" s="5" t="e">
        <f>IF(Table4[[#This Row],[Project Status]]=2,Table4[[#This Row],[x]],NA())</f>
        <v>#N/A</v>
      </c>
      <c r="M17" s="5" t="e">
        <f>IF(Table4[[#This Row],[Project Status]]=2,Table4[[#This Row],[y]],NA())</f>
        <v>#N/A</v>
      </c>
      <c r="N17" s="5">
        <f>IF(Table4[[#This Row],[Project Status]]=3,Table4[[#This Row],[x]],NA())</f>
        <v>1.129934006849876</v>
      </c>
      <c r="O17" s="5">
        <f>IF(Table4[[#This Row],[Project Status]]=3,Table4[[#This Row],[y]],NA())</f>
        <v>1.6502269965565901</v>
      </c>
      <c r="P17" s="5" t="s">
        <v>77</v>
      </c>
      <c r="Q17" s="5" t="s">
        <v>74</v>
      </c>
      <c r="R17" s="5" t="s">
        <v>50</v>
      </c>
    </row>
    <row r="54" spans="16:16">
      <c r="P54" s="6"/>
    </row>
  </sheetData>
  <sheetProtection insertRows="0"/>
  <dataConsolidate/>
  <dataValidations count="1">
    <dataValidation type="list" showInputMessage="1" showErrorMessage="1" sqref="P2:Q17" xr:uid="{00000000-0002-0000-0100-000000000000}">
      <formula1>INDIRECT("tbl_Category[Category]")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Label1">
          <controlPr defaultSize="0" autoLine="0" autoPict="0" r:id="rId5">
            <anchor moveWithCells="1">
              <from>
                <xdr:col>23</xdr:col>
                <xdr:colOff>104775</xdr:colOff>
                <xdr:row>13</xdr:row>
                <xdr:rowOff>152400</xdr:rowOff>
              </from>
              <to>
                <xdr:col>27</xdr:col>
                <xdr:colOff>95250</xdr:colOff>
                <xdr:row>18</xdr:row>
                <xdr:rowOff>171450</xdr:rowOff>
              </to>
            </anchor>
          </controlPr>
        </control>
      </mc:Choice>
      <mc:Fallback>
        <control shapeId="2053" r:id="rId4" name="Label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Get_Data_from_Projects">
            <anchor moveWithCells="1" sizeWithCells="1">
              <from>
                <xdr:col>23</xdr:col>
                <xdr:colOff>76200</xdr:colOff>
                <xdr:row>7</xdr:row>
                <xdr:rowOff>180975</xdr:rowOff>
              </from>
              <to>
                <xdr:col>27</xdr:col>
                <xdr:colOff>66675</xdr:colOff>
                <xdr:row>13</xdr:row>
                <xdr:rowOff>66675</xdr:rowOff>
              </to>
            </anchor>
          </controlPr>
        </control>
      </mc:Choice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Chart!$AG$3:$AG$5</xm:f>
          </x14:formula1>
          <xm:sqref>R2:R17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Chart</vt:lpstr>
      <vt:lpstr>Sheet1</vt:lpstr>
    </vt:vector>
  </TitlesOfParts>
  <Company>Maersk Drilling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Selimaj, Ledian</dc:creator>
  <cp:lastModifiedBy>Ledian</cp:lastModifiedBy>
  <dcterms:created xsi:type="dcterms:W3CDTF">2019-05-08T12:43:04Z</dcterms:created>
  <dcterms:modified xsi:type="dcterms:W3CDTF">2022-07-29T20:04:58Z</dcterms:modified>
</cp:coreProperties>
</file>